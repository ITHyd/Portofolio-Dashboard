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enzen365.sharepoint.com/sites/Clients/Shared Documents/04 -  Programme &amp; Delivery Excellence/03 Portfolio Office/07 Performance and Reporting/Pre ERP Reports/"/>
    </mc:Choice>
  </mc:AlternateContent>
  <xr:revisionPtr revIDLastSave="0" documentId="8_{2DEBB92F-1085-45B1-A275-73F4C94D45C2}" xr6:coauthVersionLast="47" xr6:coauthVersionMax="47" xr10:uidLastSave="{00000000-0000-0000-0000-000000000000}"/>
  <bookViews>
    <workbookView xWindow="-108" yWindow="-108" windowWidth="23256" windowHeight="13896" firstSheet="1" activeTab="1" xr2:uid="{00000000-000D-0000-FFFF-FFFF00000000}"/>
  </bookViews>
  <sheets>
    <sheet name="Cover sheet" sheetId="5" r:id="rId1"/>
    <sheet name="Metric Catalogue" sheetId="1" r:id="rId2"/>
    <sheet name="Capability Summary" sheetId="2" r:id="rId3"/>
    <sheet name="Glossary &amp; Guide" sheetId="3" r:id="rId4"/>
    <sheet name="Suggested Additions" sheetId="4" r:id="rId5"/>
    <sheet name="Lists" sheetId="6" r:id="rId6"/>
    <sheet name="Deleted Metrics" sheetId="7" r:id="rId7"/>
  </sheets>
  <definedNames>
    <definedName name="_xlnm._FilterDatabase" localSheetId="2" hidden="1">'Capability Summary'!$A$3:$G$50</definedName>
    <definedName name="_xlnm._FilterDatabase" localSheetId="1" hidden="1">'Metric Catalogue'!$A$3:$A$44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2" l="1"/>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D13" i="2"/>
  <c r="D5" i="2"/>
  <c r="D6" i="2"/>
  <c r="D7" i="2"/>
  <c r="D8" i="2"/>
  <c r="D9" i="2"/>
  <c r="D10" i="2"/>
  <c r="D11" i="2"/>
  <c r="D12"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A5" i="2"/>
  <c r="B5" i="2"/>
  <c r="C5" i="2"/>
  <c r="A6" i="2"/>
  <c r="B6" i="2"/>
  <c r="C6" i="2"/>
  <c r="A7" i="2"/>
  <c r="B7" i="2"/>
  <c r="C7" i="2"/>
  <c r="A8" i="2"/>
  <c r="B8" i="2"/>
  <c r="C8" i="2"/>
  <c r="A9" i="2"/>
  <c r="B9" i="2"/>
  <c r="C9" i="2"/>
  <c r="A10" i="2"/>
  <c r="B10" i="2"/>
  <c r="C10" i="2"/>
  <c r="A11" i="2"/>
  <c r="B11" i="2"/>
  <c r="C11" i="2"/>
  <c r="A12" i="2"/>
  <c r="B12" i="2"/>
  <c r="C12" i="2"/>
  <c r="A13" i="2"/>
  <c r="B13" i="2"/>
  <c r="C13" i="2"/>
  <c r="A14" i="2"/>
  <c r="B14" i="2"/>
  <c r="C14" i="2"/>
  <c r="A15" i="2"/>
  <c r="B15" i="2"/>
  <c r="C15" i="2"/>
  <c r="A16" i="2"/>
  <c r="B16" i="2"/>
  <c r="C16" i="2"/>
  <c r="A17" i="2"/>
  <c r="B17" i="2"/>
  <c r="C17" i="2"/>
  <c r="A18" i="2"/>
  <c r="B18" i="2"/>
  <c r="C18" i="2"/>
  <c r="A19" i="2"/>
  <c r="B19" i="2"/>
  <c r="C19" i="2"/>
  <c r="A20" i="2"/>
  <c r="B20" i="2"/>
  <c r="C20" i="2"/>
  <c r="A21" i="2"/>
  <c r="B21" i="2"/>
  <c r="C21" i="2"/>
  <c r="A22" i="2"/>
  <c r="B22" i="2"/>
  <c r="C22" i="2"/>
  <c r="A23" i="2"/>
  <c r="B23" i="2"/>
  <c r="C23" i="2"/>
  <c r="A24" i="2"/>
  <c r="B24" i="2"/>
  <c r="C24" i="2"/>
  <c r="A25" i="2"/>
  <c r="B25" i="2"/>
  <c r="C25" i="2"/>
  <c r="A26" i="2"/>
  <c r="B26" i="2"/>
  <c r="C26" i="2"/>
  <c r="A27" i="2"/>
  <c r="B27" i="2"/>
  <c r="C27" i="2"/>
  <c r="A28" i="2"/>
  <c r="B28" i="2"/>
  <c r="C28" i="2"/>
  <c r="A29" i="2"/>
  <c r="B29" i="2"/>
  <c r="C29" i="2"/>
  <c r="A30" i="2"/>
  <c r="B30" i="2"/>
  <c r="C30" i="2"/>
  <c r="A31" i="2"/>
  <c r="B31" i="2"/>
  <c r="C31" i="2"/>
  <c r="A32" i="2"/>
  <c r="B32" i="2"/>
  <c r="C32" i="2"/>
  <c r="A33" i="2"/>
  <c r="B33" i="2"/>
  <c r="C33" i="2"/>
  <c r="A34" i="2"/>
  <c r="B34" i="2"/>
  <c r="C34" i="2"/>
  <c r="A35" i="2"/>
  <c r="B35" i="2"/>
  <c r="C35" i="2"/>
  <c r="A36" i="2"/>
  <c r="B36" i="2"/>
  <c r="C36" i="2"/>
  <c r="A37" i="2"/>
  <c r="B37" i="2"/>
  <c r="C37" i="2"/>
  <c r="A38" i="2"/>
  <c r="B38" i="2"/>
  <c r="C38" i="2"/>
  <c r="A39" i="2"/>
  <c r="B39" i="2"/>
  <c r="C39" i="2"/>
  <c r="A40" i="2"/>
  <c r="B40" i="2"/>
  <c r="C40" i="2"/>
  <c r="A41" i="2"/>
  <c r="B41" i="2"/>
  <c r="C41" i="2"/>
  <c r="A42" i="2"/>
  <c r="B42" i="2"/>
  <c r="C42" i="2"/>
  <c r="A43" i="2"/>
  <c r="B43" i="2"/>
  <c r="C43" i="2"/>
  <c r="A44" i="2"/>
  <c r="B44" i="2"/>
  <c r="C44" i="2"/>
  <c r="A4" i="2"/>
  <c r="B4" i="2"/>
  <c r="C4" i="2"/>
  <c r="F4" i="2"/>
  <c r="D4" i="2"/>
  <c r="E4" i="2"/>
  <c r="B49" i="2" l="1"/>
  <c r="C46" i="2" s="1"/>
  <c r="B50" i="2"/>
  <c r="C47" i="2" s="1"/>
  <c r="C48"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tc={5DAC6EE3-CB0F-4E9C-A418-D3D79A79D161}</author>
    <author>tc={EC6111B6-EB17-4388-A15E-FC20C27A9C72}</author>
    <author>tc={3C076306-5730-4576-92B3-36475FA71B87}</author>
    <author>tc={E8A40E42-7C05-47FA-B20C-3F91DC816C09}</author>
  </authors>
  <commentList>
    <comment ref="AC36" authorId="0" shapeId="0" xr:uid="{5DAC6EE3-CB0F-4E9C-A418-D3D79A79D161}">
      <text>
        <t>[Threaded comment]
Your version of Excel allows you to read this threaded comment; however, any edits to it will get removed if the file is opened in a newer version of Excel. Learn more: https://go.microsoft.com/fwlink/?linkid=870924
Comment:
    Via email</t>
      </text>
    </comment>
    <comment ref="AC37" authorId="1" shapeId="0" xr:uid="{EC6111B6-EB17-4388-A15E-FC20C27A9C72}">
      <text>
        <t>[Threaded comment]
Your version of Excel allows you to read this threaded comment; however, any edits to it will get removed if the file is opened in a newer version of Excel. Learn more: https://go.microsoft.com/fwlink/?linkid=870924
Comment:
    Via email</t>
      </text>
    </comment>
    <comment ref="AC38" authorId="2" shapeId="0" xr:uid="{3C076306-5730-4576-92B3-36475FA71B87}">
      <text>
        <t>[Threaded comment]
Your version of Excel allows you to read this threaded comment; however, any edits to it will get removed if the file is opened in a newer version of Excel. Learn more: https://go.microsoft.com/fwlink/?linkid=870924
Comment:
    Via email</t>
      </text>
    </comment>
    <comment ref="AC39" authorId="3" shapeId="0" xr:uid="{E8A40E42-7C05-47FA-B20C-3F91DC816C09}">
      <text>
        <t>[Threaded comment]
Your version of Excel allows you to read this threaded comment; however, any edits to it will get removed if the file is opened in a newer version of Excel. Learn more: https://go.microsoft.com/fwlink/?linkid=870924
Comment:
    Via email</t>
      </text>
    </comment>
  </commentList>
</comments>
</file>

<file path=xl/sharedStrings.xml><?xml version="1.0" encoding="utf-8"?>
<sst xmlns="http://schemas.openxmlformats.org/spreadsheetml/2006/main" count="1410" uniqueCount="647">
  <si>
    <t>Version</t>
  </si>
  <si>
    <t>Status</t>
  </si>
  <si>
    <t>Date</t>
  </si>
  <si>
    <t>Author</t>
  </si>
  <si>
    <t>Comments</t>
  </si>
  <si>
    <t>v0.1</t>
  </si>
  <si>
    <t>Old</t>
  </si>
  <si>
    <t>Laura Hargrave</t>
  </si>
  <si>
    <t xml:space="preserve">Revised with feedback from Martin Wells: utilization by practice and sub-proposition reference.  Additionally added overview slide. </t>
  </si>
  <si>
    <t>v0.2</t>
  </si>
  <si>
    <t>Alf Pendlebury</t>
  </si>
  <si>
    <t>All fields reviewed and updates applied where necessary.  Validators assigned to each KPI / measure, validation date field for each measure. Capability Summary updated. Notes section updated.</t>
  </si>
  <si>
    <t>v0.3</t>
  </si>
  <si>
    <t>Added separate measure for Overall RAG status, redefined overall RAG criteria. Applied formatting / cosmetic changes.</t>
  </si>
  <si>
    <t>v0.4</t>
  </si>
  <si>
    <t>Current</t>
  </si>
  <si>
    <t>Added new column "Release" to show in which release each a particular measure will be in (initial estimates &amp; see Note 4).  Updated metrics post validation review (Fin &amp; Delivery).  Added Cost RAG per project measure &amp; Deals &gt; 4 months in the pipeline. Added Deleted Metrics tab. Capability summary updated. Added Utilisation by Practice measures for Cyber Security, Apps &amp; Development and OT practices.</t>
  </si>
  <si>
    <t>Notes:</t>
  </si>
  <si>
    <r>
      <rPr>
        <b/>
        <sz val="11"/>
        <color theme="1"/>
        <rFont val="Arial"/>
        <family val="2"/>
      </rPr>
      <t>N1</t>
    </r>
    <r>
      <rPr>
        <sz val="11"/>
        <color theme="1"/>
        <rFont val="Arial"/>
        <family val="2"/>
      </rPr>
      <t xml:space="preserve">: Managed Services are excluded from all KPI's &amp; measures in this catalogue.
</t>
    </r>
    <r>
      <rPr>
        <b/>
        <sz val="11"/>
        <color theme="1"/>
        <rFont val="Arial"/>
        <family val="2"/>
      </rPr>
      <t>N2</t>
    </r>
    <r>
      <rPr>
        <sz val="11"/>
        <color theme="1"/>
        <rFont val="Arial"/>
        <family val="2"/>
      </rPr>
      <t xml:space="preserve">: This catalogue refers only to the UK &amp; India only.
</t>
    </r>
    <r>
      <rPr>
        <b/>
        <sz val="11"/>
        <color theme="1"/>
        <rFont val="Arial"/>
        <family val="2"/>
      </rPr>
      <t>N3</t>
    </r>
    <r>
      <rPr>
        <sz val="11"/>
        <color theme="1"/>
        <rFont val="Arial"/>
        <family val="2"/>
      </rPr>
      <t xml:space="preserve">: For the purpose of this catalogue, a project currently in delivery is referred to as an "active project."
</t>
    </r>
    <r>
      <rPr>
        <b/>
        <sz val="11"/>
        <color theme="1"/>
        <rFont val="Arial"/>
        <family val="2"/>
      </rPr>
      <t>N4</t>
    </r>
    <r>
      <rPr>
        <sz val="11"/>
        <color theme="1"/>
        <rFont val="Arial"/>
        <family val="2"/>
      </rPr>
      <t>: Product release dates TBC</t>
    </r>
  </si>
  <si>
    <t>nxzen Portfolio Office  |  Metric Definition Catalogue  |  DRAFT  —  April 2026</t>
  </si>
  <si>
    <t>METRIC IDENTITY</t>
  </si>
  <si>
    <t>DEFINITION</t>
  </si>
  <si>
    <t>DATA &amp; GOVERNANCE</t>
  </si>
  <si>
    <t>CAPABILITY ASSESSMENT</t>
  </si>
  <si>
    <t>DASHBOARD</t>
  </si>
  <si>
    <t>THRESHOLDS</t>
  </si>
  <si>
    <t>Release</t>
  </si>
  <si>
    <t>#</t>
  </si>
  <si>
    <t>Metric Name</t>
  </si>
  <si>
    <t>Category</t>
  </si>
  <si>
    <t>Sub-Category</t>
  </si>
  <si>
    <t>Description</t>
  </si>
  <si>
    <t>Calculation / Formula</t>
  </si>
  <si>
    <t>Data Source (Process)</t>
  </si>
  <si>
    <t>Source System / Tool</t>
  </si>
  <si>
    <t>Data Owner</t>
  </si>
  <si>
    <t>Update Frequency</t>
  </si>
  <si>
    <t>Unit / Format</t>
  </si>
  <si>
    <t>Reporting Period</t>
  </si>
  <si>
    <t>Current Capability
(Y / N)</t>
  </si>
  <si>
    <t>If YES —
Current Process</t>
  </si>
  <si>
    <t>If YES —
Data Source(s)</t>
  </si>
  <si>
    <t>If NO —
Gap Description</t>
  </si>
  <si>
    <t>If NO —
Process to Implement</t>
  </si>
  <si>
    <t>Priority to
Implement</t>
  </si>
  <si>
    <t>Target Date</t>
  </si>
  <si>
    <t>Dashboard
Section</t>
  </si>
  <si>
    <t>KPI / Measure Owner</t>
  </si>
  <si>
    <t>Notes / Assumptions</t>
  </si>
  <si>
    <t>RAG Green
Threshold</t>
  </si>
  <si>
    <t>RAG Amber
Threshold</t>
  </si>
  <si>
    <t>RAG Red
Threshold</t>
  </si>
  <si>
    <t>Benchmark /
Target</t>
  </si>
  <si>
    <t>Validated By</t>
  </si>
  <si>
    <t>Comments / Q's</t>
  </si>
  <si>
    <t>MVP</t>
  </si>
  <si>
    <t>1</t>
  </si>
  <si>
    <t>Active Projects</t>
  </si>
  <si>
    <t>Portfolio Snapshot</t>
  </si>
  <si>
    <t>Portfolio at a Glance</t>
  </si>
  <si>
    <t>Total count of nxzen (UK &amp; India) active projects</t>
  </si>
  <si>
    <t>COUNT of active projects from the Dynamics Project extract</t>
  </si>
  <si>
    <t>Active projects in Dynamics</t>
  </si>
  <si>
    <r>
      <t>Extract from Dynamics (</t>
    </r>
    <r>
      <rPr>
        <b/>
        <sz val="10"/>
        <color theme="3"/>
        <rFont val="Arial"/>
        <family val="2"/>
      </rPr>
      <t>link TBC</t>
    </r>
    <r>
      <rPr>
        <sz val="10"/>
        <color rgb="FF000000"/>
        <rFont val="Arial"/>
        <family val="2"/>
      </rPr>
      <t>)</t>
    </r>
  </si>
  <si>
    <t>Finance</t>
  </si>
  <si>
    <t>Weekly</t>
  </si>
  <si>
    <t>Count (#)</t>
  </si>
  <si>
    <t>Current month</t>
  </si>
  <si>
    <t>Y (partial)</t>
  </si>
  <si>
    <t>Finance have a list of all projects</t>
  </si>
  <si>
    <t>Extract from Dynamics</t>
  </si>
  <si>
    <t>Would need to count only active projects (e.g. remove managed svcs, etc.)</t>
  </si>
  <si>
    <t>Filter extract to only counts active projects</t>
  </si>
  <si>
    <t>High</t>
  </si>
  <si>
    <t>Syed</t>
  </si>
  <si>
    <t>Dormant or closed projects excluded.</t>
  </si>
  <si>
    <t>N/A</t>
  </si>
  <si>
    <t>2</t>
  </si>
  <si>
    <t>Active Clients</t>
  </si>
  <si>
    <t>Number of distinct (UK &amp; India) clients with at least one active project</t>
  </si>
  <si>
    <t>COUNT DISTINCT (Client) of active projects from the Dynamics Project extract</t>
  </si>
  <si>
    <t>Extract from Dynamics shows customer (Client)</t>
  </si>
  <si>
    <t>Would need to count only clients with a current active project(s) (e.g. remove managed svcs, etc.)</t>
  </si>
  <si>
    <t>Filter extract to only counts clients with an active project(s)</t>
  </si>
  <si>
    <t>One client may have multiple projects; deduplicated count.</t>
  </si>
  <si>
    <t>3</t>
  </si>
  <si>
    <t>Overall RAG Status</t>
  </si>
  <si>
    <t>Overall RAG status of the portfolio</t>
  </si>
  <si>
    <t>If overall RAG Red %: ≥10% then Red
If overall RAG Amber %:≥5%–&lt;10% then Amber
If overall RAG Green %: &lt;5% Red or Amber, then Green</t>
  </si>
  <si>
    <t>PM-reported RAG per project during weekly review</t>
  </si>
  <si>
    <t>Acct Delivery Status Report: Milestone plan</t>
  </si>
  <si>
    <t>PM (reported), Portfolio Office (validate &amp; consolidate)</t>
  </si>
  <si>
    <t>% (one decimal)</t>
  </si>
  <si>
    <t>Current week</t>
  </si>
  <si>
    <t>PMs self-report RAG per project / acct; Portfolio Office analyses each report, validates. No Portfolio / overall RAG</t>
  </si>
  <si>
    <t>Acct delivery weekly reports (.PPT)</t>
  </si>
  <si>
    <t>Currently no overall / portfolio RAG status</t>
  </si>
  <si>
    <t>Need to apply portfolio / overall RAG criteria &amp; apply for all active projects</t>
  </si>
  <si>
    <t>Overall RAG: Red: ≥10% Proj Red
Overall RAG: Amber: Not Red &amp; ≥5% Amber
Overall RAG: Green: Not Red or Amber</t>
  </si>
  <si>
    <t>&lt;5% Red or Amber</t>
  </si>
  <si>
    <t>≥5%–&lt;10%</t>
  </si>
  <si>
    <t>≥10%</t>
  </si>
  <si>
    <t>Green</t>
  </si>
  <si>
    <t>4</t>
  </si>
  <si>
    <t>Overall RAG — Red %</t>
  </si>
  <si>
    <t>Percentage of active projects with an overall RAG status of Red.</t>
  </si>
  <si>
    <t>COUNT(Overall RAG = Red) / COUNT(Active Projects) × 100</t>
  </si>
  <si>
    <t>Overall RAG criteria: Red: ≥10% of projects are Red.</t>
  </si>
  <si>
    <t>≤3% red</t>
  </si>
  <si>
    <t>1. Process to gather data is there, not being followed in all instances. 2. Notes / Assumptions Red criteria is for per account, not portfolio / overall RAG.</t>
  </si>
  <si>
    <t>5</t>
  </si>
  <si>
    <t>Overall RAG — Amber %</t>
  </si>
  <si>
    <t>Percentage of active projects with an overall RAG status of Amber.</t>
  </si>
  <si>
    <t>COUNT(Overall RAG = Amber) / COUNT(Active Projects) × 100</t>
  </si>
  <si>
    <t>Acct Delivery Status Report: Delivery status</t>
  </si>
  <si>
    <t>Overall RAG criteria: Amber: overall RAG is not Red &amp; ≥5% of projects are Amber</t>
  </si>
  <si>
    <t>≤7% amber</t>
  </si>
  <si>
    <t>1. Process to gather data is there, not being followed in all instances.</t>
  </si>
  <si>
    <t>6</t>
  </si>
  <si>
    <t>Overall RAG — Green %</t>
  </si>
  <si>
    <t>Percentage of active projects with an overall RAG status of Green.</t>
  </si>
  <si>
    <t>COUNT(Overall RAG = Green) / COUNT(Active Projects) × 100</t>
  </si>
  <si>
    <t>Overall RAG criteria: Green: overall RAG is not Red or Amber</t>
  </si>
  <si>
    <t>≥90% green</t>
  </si>
  <si>
    <t>7</t>
  </si>
  <si>
    <t>On Time %</t>
  </si>
  <si>
    <t>Delivery Indicators</t>
  </si>
  <si>
    <t>Measures the next due milestone.  Percentage of active projects tracking on schedule (On schedule RAG: Green = no slippage).</t>
  </si>
  <si>
    <t>COUNT (Next due milestone RAG = Green) / COUNT (Active Projects) × 100</t>
  </si>
  <si>
    <t>PM provides milestone plan and actual progress weekly</t>
  </si>
  <si>
    <t>PMs self-report milestones per project / acct; Portfolio Office analyses each report, validates. No Portfolio / overall % on time</t>
  </si>
  <si>
    <t>No standard milestone tracking tool or format across all PMs. Schedule data not consolidated.</t>
  </si>
  <si>
    <t>Define standard milestone template; PMs update weekly; Portfolio Office validates &amp; consolidates at account review. Automate extraction via AI agent.</t>
  </si>
  <si>
    <t>01/06/2026</t>
  </si>
  <si>
    <t>PM per project</t>
  </si>
  <si>
    <t>RAG: Red = project has slipped.  Amber = project at risk of slippage unless action is taken.
Green = no slippage &amp; no risk of slippage.
Benchmark from current wireframe: 71% on-time.</t>
  </si>
  <si>
    <t>≥80%</t>
  </si>
  <si>
    <t>65–&lt;80%</t>
  </si>
  <si>
    <t>&lt;65%</t>
  </si>
  <si>
    <t>8</t>
  </si>
  <si>
    <t>Projects Behind Schedule (count)</t>
  </si>
  <si>
    <t>Measures the next due milestone.  Count of active projects where schedule RAG: Red = next due milestone has slipped.</t>
  </si>
  <si>
    <t>COUNT(Next due milestone RAG = Red)</t>
  </si>
  <si>
    <t>PMs self-report milestones per project / acct; Portfolio Office analyses each report, validates. No Portfolio / overall behind schedule count</t>
  </si>
  <si>
    <t>RAG: Red = project has slipped.  Amber = project at risk of slippage unless action is taken.
Green = no slippage &amp; no risk of slippage.</t>
  </si>
  <si>
    <t>REL 2</t>
  </si>
  <si>
    <t>9</t>
  </si>
  <si>
    <t>On Budget %</t>
  </si>
  <si>
    <t>Percentage of active projects, where forecast cost is in line with approved budget. (Budget RAG: Green = is in line with approved budget).</t>
  </si>
  <si>
    <t>COUNT(Budget RAG = Green) / COUNT(Active Projects) × 100</t>
  </si>
  <si>
    <t>PM and Finance provide actual vs budget cost data</t>
  </si>
  <si>
    <t>Finance system + PM budget tracker</t>
  </si>
  <si>
    <t>Finance (actuals), PM (forecast)</t>
  </si>
  <si>
    <t>Monthly (minimum)</t>
  </si>
  <si>
    <t>N</t>
  </si>
  <si>
    <t>Budget data held in Finance system but not linked to project register or dashboard. No standard budget tracker per project.</t>
  </si>
  <si>
    <t>Actuals in Finance system; forecast held informally by PM. No single source. No automated consolidation.</t>
  </si>
  <si>
    <t>Introduce standard project budget tracker (template). Finance to share actuals monthly. PM to update forecast. Portfolio Office to consolidate.</t>
  </si>
  <si>
    <t>RAG: Red = project is over budget.  Amber = project at risk of going over budget unless action is taken.
Green = not over budget &amp; not at  risk of going over.</t>
  </si>
  <si>
    <t>10</t>
  </si>
  <si>
    <t>Projects Over Budget (count)</t>
  </si>
  <si>
    <t>Count of active projects where forecast cost exceeds approved budget.</t>
  </si>
  <si>
    <t>COUNT (Budget RAG = Red)</t>
  </si>
  <si>
    <t>Monthly</t>
  </si>
  <si>
    <t>11</t>
  </si>
  <si>
    <t>Resource Gaps Flagged</t>
  </si>
  <si>
    <t>Count of active projects with a flagged resource gap (Resource RAG = Red or Amber).</t>
  </si>
  <si>
    <t>COUNT(Resource RAG ∈ {Amber, Red})</t>
  </si>
  <si>
    <t>PM flags resource gaps at weekly account review</t>
  </si>
  <si>
    <t>PM status update / resource plan</t>
  </si>
  <si>
    <t>PM (flagged), Portfolio Office (consolidated)</t>
  </si>
  <si>
    <t>PMs flag resource gaps verbally in account reviews. Not formally tracked or logged.</t>
  </si>
  <si>
    <t>Verbal account review notes</t>
  </si>
  <si>
    <t>Gaps flagged informally — no structured log or consistent criteria.</t>
  </si>
  <si>
    <t>Add resource gap field to weekly PM status template. Log in project register. Alert Portfolio Office when flagged.</t>
  </si>
  <si>
    <t>Medium</t>
  </si>
  <si>
    <t>01/05/2026</t>
  </si>
  <si>
    <t>Resource Manager</t>
  </si>
  <si>
    <t>RAG: Red = resource issue now / will miss schedule unless action is taken.  Amber = will become a resource problem unless action is taken.
Green = no resource issues</t>
  </si>
  <si>
    <t>0</t>
  </si>
  <si>
    <t>&gt;0–&lt;2</t>
  </si>
  <si>
    <t>≥2</t>
  </si>
  <si>
    <t>REL 3</t>
  </si>
  <si>
    <t>12</t>
  </si>
  <si>
    <t>Client Satisfaction Score</t>
  </si>
  <si>
    <t>Percentage of clients rating project delivery ≥4/5 (or equivalent) in most recent satisfaction check.</t>
  </si>
  <si>
    <t>COUNT(CSAT ≥4) / COUNT(CSAT responses) × 100</t>
  </si>
  <si>
    <t>Client satisfaction survey or conversation-based check with CP</t>
  </si>
  <si>
    <t>Survey tool or structured CP debrief</t>
  </si>
  <si>
    <t>TBC (a Corporate owner is required)</t>
  </si>
  <si>
    <t>Monthly / per milestone</t>
  </si>
  <si>
    <t>Last 30 days or last survey round</t>
  </si>
  <si>
    <t>No formal client satisfaction process or survey tool in place.</t>
  </si>
  <si>
    <t>CSAT not systematically collected. CPs have informal client sentiment but no structured data.</t>
  </si>
  <si>
    <t>Define lightweight CSAT process (1–5 rating + comment at milestone/monthly). CP collects and logs. Portfolio Office aggregates.</t>
  </si>
  <si>
    <t>Benchmark from wireframe: 69%. A Corporate owner is required for this measure so as to be independent of the sales / delivery function</t>
  </si>
  <si>
    <t>≥90%</t>
  </si>
  <si>
    <t>60–&lt;90%</t>
  </si>
  <si>
    <t>&lt;60%</t>
  </si>
  <si>
    <t xml:space="preserve">TBC </t>
  </si>
  <si>
    <t>I think the green should be ≥90% similar measure for NPS (9 &amp; 10 - promoters, whereas 8 (80%) would be passives, indicates our clients are indifferent to us)</t>
  </si>
  <si>
    <t>13</t>
  </si>
  <si>
    <t>Utilisation – UK (overall)</t>
  </si>
  <si>
    <t>Resource &amp; Utilisation</t>
  </si>
  <si>
    <t>Overall</t>
  </si>
  <si>
    <t>Percentage of billable &amp; business/practice developmenthours worked against available billable &amp; internal project capacity for UK-based resources.</t>
  </si>
  <si>
    <t>Billable &amp; business/practice development (hours) logged / Available billable &amp; internal project hours (contracted − leave) × 100</t>
  </si>
  <si>
    <t>Timesheets submitted weekly by all UK resources</t>
  </si>
  <si>
    <t>Dynamics Timesheets BI</t>
  </si>
  <si>
    <t>Resource Manager / Finance</t>
  </si>
  <si>
    <t>Current week / rolling 4-week avg</t>
  </si>
  <si>
    <t>Timesheets saved weekly. BI report can separate UK &amp; IN users.</t>
  </si>
  <si>
    <t>Dynamics Timesheets</t>
  </si>
  <si>
    <t>Currently report on current / past week &amp; month not rolling 4 weeks
Need to confirm the calculation with Saurabh</t>
  </si>
  <si>
    <t>Build automated utilisation calculation from timesheet data; surface weekly in dashboard.</t>
  </si>
  <si>
    <t>Target 82% billable utilisation.</t>
  </si>
  <si>
    <t>≥82%</t>
  </si>
  <si>
    <t>70–&lt;82%</t>
  </si>
  <si>
    <t>&lt;70%</t>
  </si>
  <si>
    <t>82%</t>
  </si>
  <si>
    <t>Can we review the calculation in Timesheets (BI), to fit our need here</t>
  </si>
  <si>
    <t>14</t>
  </si>
  <si>
    <t>Utilisation – India (overall)</t>
  </si>
  <si>
    <t>Percentage of billable &amp; business/practice development hours worked against available billable &amp; internal project capacity for India-based resources.</t>
  </si>
  <si>
    <t>Timesheets submitted weekly by India resources</t>
  </si>
  <si>
    <t>Resource Manager / India Resource Lead</t>
  </si>
  <si>
    <t>India Resource Lead</t>
  </si>
  <si>
    <t>Timesheet data entry and BI reports are one and the same for UK &amp; India (unless something has changed) so in theory one fix will suffice for both areas (and AU/NZ when their time comes)</t>
  </si>
  <si>
    <t>15</t>
  </si>
  <si>
    <t>Utilisation – by Practice (Renewables &amp; Eng)</t>
  </si>
  <si>
    <t>By Practice</t>
  </si>
  <si>
    <t>Percentage of billable &amp; business/practice development utilisation for resources aligned to the Renewables &amp; Engineering practice/sub-proposition.</t>
  </si>
  <si>
    <t>Billable &amp; ibusiness/practice development hours logged (Renewables &amp; Eng resources) / Available billable hours (same group) × 100</t>
  </si>
  <si>
    <t>Timesheets submitted weekly by all UK &amp; India resources</t>
  </si>
  <si>
    <t>Practice Lead / Resource Manager</t>
  </si>
  <si>
    <t>No practice-level tagging in timesheet or resource data. Cannot slice utilisation by practice.</t>
  </si>
  <si>
    <t>Tag all resources with practice/sub-proposition in resource system. Build grouping logic in dashboard.</t>
  </si>
  <si>
    <t>Practice Lead</t>
  </si>
  <si>
    <t>Practices: Renewables &amp; Eng | Data Intelligence &amp; AI | Cyber | Apps &amp; Dev | OT.</t>
  </si>
  <si>
    <t>16</t>
  </si>
  <si>
    <t>Utilisation – by Practice (Data Intelligence &amp; AI)</t>
  </si>
  <si>
    <t>Percentage of billable &amp; business/practice development utilisation for resources aligned to the Data Intelligence &amp; AI practice.</t>
  </si>
  <si>
    <t>Billable &amp; business/practice development hours logged (Data Intelligence &amp; AI) / Available billable hours (same group) × 101</t>
  </si>
  <si>
    <t>17</t>
  </si>
  <si>
    <t>Utilisation – by Practice (Cyber Security)</t>
  </si>
  <si>
    <t>Percentage of billable &amp; business/practice development utilisation for resources aligned to the Cyber Security practice/sub-proposition.</t>
  </si>
  <si>
    <t>Billable &amp; ibusiness/practice development hours logged (Cyber Security resources) / Available billable hours (same group) × 100</t>
  </si>
  <si>
    <t>18</t>
  </si>
  <si>
    <t>Utilisation – by Practice (Apps &amp; Development)</t>
  </si>
  <si>
    <t>Percentage of billable &amp; business/practice development utilisation for resources aligned to the Aps &amp; Development practice/sub-proposition.</t>
  </si>
  <si>
    <t>Billable &amp; ibusiness/practice development hours logged (Apps &amp; Development resources) / Available billable hours (same group) × 100</t>
  </si>
  <si>
    <t>19</t>
  </si>
  <si>
    <t>Utilisation – by Practice (OT)</t>
  </si>
  <si>
    <t>Percentage of billable &amp; business/practice development utilisation for resources aligned to the OT practice/sub-proposition.</t>
  </si>
  <si>
    <t>Billable &amp; ibusiness/practice development hours logged (OT resources) / Available billable hours (same group) × 100</t>
  </si>
  <si>
    <t>20</t>
  </si>
  <si>
    <t>Unassigned Resources %</t>
  </si>
  <si>
    <t>Capacity</t>
  </si>
  <si>
    <t>Percentage of total UK &amp; India resource headcount currently unassigned to any active project.</t>
  </si>
  <si>
    <t>COUNT(Unassigned FTE excl. Corporate) / Total FTE (excl. Corporate) × 100</t>
  </si>
  <si>
    <t>Y</t>
  </si>
  <si>
    <t>Users log time and select "Type" "unassigned"</t>
  </si>
  <si>
    <t>Benchmark: 11%.</t>
  </si>
  <si>
    <t>≤10%</t>
  </si>
  <si>
    <t>&gt;10–≤20%</t>
  </si>
  <si>
    <t>&gt;20%</t>
  </si>
  <si>
    <t>21</t>
  </si>
  <si>
    <t>Unbillable Resources %</t>
  </si>
  <si>
    <t>Percentage of total UK &amp; India hours logged against non-billable codes (internal, bench, training).</t>
  </si>
  <si>
    <t>Non-billable hours (excl. Corporate) / Total logged hours (excl. Corporate) × 100</t>
  </si>
  <si>
    <t>Timesheet data — hours logged to non-billable project codes</t>
  </si>
  <si>
    <t>Finance / Resource Manager</t>
  </si>
  <si>
    <t>Current week / rolling 4-week</t>
  </si>
  <si>
    <t>Users log time against "Type" &amp; "Project"</t>
  </si>
  <si>
    <t>Benchmark: 26%. Includes bench time, internal projects, training.</t>
  </si>
  <si>
    <t>≤15%</t>
  </si>
  <si>
    <t>&gt;15–25%</t>
  </si>
  <si>
    <t>&gt;25%</t>
  </si>
  <si>
    <t>22</t>
  </si>
  <si>
    <t>Schedule RAG per Project</t>
  </si>
  <si>
    <t>Delivery Health</t>
  </si>
  <si>
    <t>Project Status</t>
  </si>
  <si>
    <t>Measures the project as a whole. Schedule performance for each active project rated Green/Amber/Red against defined criteria.</t>
  </si>
  <si>
    <t>Green: no slippage; Amber: risk of slippage if no action taken Red project has slipped.</t>
  </si>
  <si>
    <t>PM provides milestone actuals vs baseline at weekly account review</t>
  </si>
  <si>
    <t>Project plan (standardised template)</t>
  </si>
  <si>
    <t>PM</t>
  </si>
  <si>
    <t>RAG (G/A/R)</t>
  </si>
  <si>
    <t>Each PM uses different tools (Excel, MS Project, Jira). No baseline plan consistently maintained.</t>
  </si>
  <si>
    <t>Mandate standard milestone plan template. PMs update weekly. RAG auto-calculated. Portfolio Office reviews in account review.</t>
  </si>
  <si>
    <t>≤5% slip</t>
  </si>
  <si>
    <t>&gt;5–15% slip</t>
  </si>
  <si>
    <t>&gt;15% slip</t>
  </si>
  <si>
    <t>23</t>
  </si>
  <si>
    <t>Target Margin RAG per Project</t>
  </si>
  <si>
    <t>Target margin performance for each active project rated against approved budget.</t>
  </si>
  <si>
    <t>Green &lt;2% variance; Amber 2–5% variance; Red &gt;5% variance</t>
  </si>
  <si>
    <t>Finance actuals + PM forecast submitted monthly (minimum) or at milestone</t>
  </si>
  <si>
    <t>&lt;2%</t>
  </si>
  <si>
    <t>2–5%</t>
  </si>
  <si>
    <t>&gt;5%</t>
  </si>
  <si>
    <t>Sarah B</t>
  </si>
  <si>
    <t>24</t>
  </si>
  <si>
    <t>Resource RAG per Project</t>
  </si>
  <si>
    <t>Resource health per active project.  RAG: Red = resource issue now / will miss schedule unless action is taken.  Amber = will become a resource problem unless action is taken.
Green = no resource issues</t>
  </si>
  <si>
    <t>PM assessment against role/skill requirement plan vs actuals.</t>
  </si>
  <si>
    <t>PM assessment at weekly account review</t>
  </si>
  <si>
    <t>PM status update</t>
  </si>
  <si>
    <t>PMs informally assess resource health. Not formally documented or logged against criteria.</t>
  </si>
  <si>
    <t>Verbal PM update</t>
  </si>
  <si>
    <t>No formal resource requirement plan per project to compare against.</t>
  </si>
  <si>
    <t>Define standard resource plan template per project. PM assesses weekly against criteria. Log in project register.</t>
  </si>
  <si>
    <t>No resource issues</t>
  </si>
  <si>
    <t>Become resource issue unless action taken</t>
  </si>
  <si>
    <t>Is a resource issue. Schedule missed if no action taken</t>
  </si>
  <si>
    <t>25</t>
  </si>
  <si>
    <t>Scope RAG per Project</t>
  </si>
  <si>
    <t>Scope stability per active project: Green = baseline approved and stable; Amber = changes identified not yet agreed; Red = uncontrolled scope change impacting T/C/Q.</t>
  </si>
  <si>
    <t>PM assessment against agreed scope baseline.</t>
  </si>
  <si>
    <t>PM reports scope status at account review</t>
  </si>
  <si>
    <t>Project scope document + change log</t>
  </si>
  <si>
    <t>Change log and scope baseline not maintained consistently across projects.</t>
  </si>
  <si>
    <t>No standard change log or scope baseline documentation per active project.</t>
  </si>
  <si>
    <t>Mandate scope baseline document and change log per active project. PM updates weekly. RAG assessed against criteria.</t>
  </si>
  <si>
    <t>Stable / approved</t>
  </si>
  <si>
    <t>Change identified not yet agreed</t>
  </si>
  <si>
    <t>Uncontrolled change</t>
  </si>
  <si>
    <t>26</t>
  </si>
  <si>
    <t>Open Risks per Project</t>
  </si>
  <si>
    <t>Risks &amp; Issues</t>
  </si>
  <si>
    <t>Count and detail of open risks per active project, categorised by rating and status.</t>
  </si>
  <si>
    <t>COUNT(Risks where Status = Open), grouped by active project and severity.</t>
  </si>
  <si>
    <t>PM-maintained risk register updated weekly</t>
  </si>
  <si>
    <t>Risk register (standardised template)</t>
  </si>
  <si>
    <t>Count + detail</t>
  </si>
  <si>
    <t>Risk logs exist informally per PM but no standard format and no consolidated view.</t>
  </si>
  <si>
    <t>No standard risk register template or consolidated risk log. No consistent severity rating scale.</t>
  </si>
  <si>
    <t>Define standard risk register template with probability/impact scoring. PMs update weekly. Portfolio Office consolidates and surfaces High risks.</t>
  </si>
  <si>
    <t>Risk Assessment Aid</t>
  </si>
  <si>
    <t>Displayed in Top Risks &amp; Issues log on dashboard.</t>
  </si>
  <si>
    <t>27</t>
  </si>
  <si>
    <t>Open Issues per Project</t>
  </si>
  <si>
    <t>Count and detail of open issues (materialised risks or blockers) per active project.</t>
  </si>
  <si>
    <t>COUNT(Issues where Status = Open), grouped by active project.</t>
  </si>
  <si>
    <t>PM-maintained issue log updated weekly</t>
  </si>
  <si>
    <t>Issue log (standardised template)</t>
  </si>
  <si>
    <t>Issues not formally tracked. Raised verbally in account reviews but not logged.</t>
  </si>
  <si>
    <t>No standard issue log. Issues not differentiated from risks.</t>
  </si>
  <si>
    <t>Define and mandate issue log (separate from risk log). PMs update weekly. Portfolio Office consolidates.</t>
  </si>
  <si>
    <t>REL 1</t>
  </si>
  <si>
    <t>28</t>
  </si>
  <si>
    <t>Total Portfolio Value</t>
  </si>
  <si>
    <t>Commercial</t>
  </si>
  <si>
    <t>Revenue</t>
  </si>
  <si>
    <t>Sum of contracted value of all active projects.</t>
  </si>
  <si>
    <t>SUM(Contracted Value) across all active projects.</t>
  </si>
  <si>
    <t>Contracts signed; value entered into Zen X by Cpthen entered into Finance spreadsheets</t>
  </si>
  <si>
    <t>Finance system / Excel spreadsheets</t>
  </si>
  <si>
    <t>Finance / Client Partner</t>
  </si>
  <si>
    <t>On contract signature (updated monthly)</t>
  </si>
  <si>
    <t>£ (GBP, thousands)</t>
  </si>
  <si>
    <t>Cumulative active portfolio</t>
  </si>
  <si>
    <t>Existing Finance process included in the Month End pack</t>
  </si>
  <si>
    <t>Zen X + Finance system</t>
  </si>
  <si>
    <t>Growth</t>
  </si>
  <si>
    <t>Benchmark: £4.2M.</t>
  </si>
  <si>
    <t>29</t>
  </si>
  <si>
    <t>Revenue Recognised MTD</t>
  </si>
  <si>
    <t>Revenue formally recognised in the current month to date, per accounting policy.</t>
  </si>
  <si>
    <t>SUM(Revenue Recognised) where recognition date in current calendar month.</t>
  </si>
  <si>
    <t>Finance team applies revenue recognition and updates monthly</t>
  </si>
  <si>
    <t>Finance / Accounting system</t>
  </si>
  <si>
    <t>Month to date</t>
  </si>
  <si>
    <t>Finance recognises revenue monthly per project. Data exists but not surfaced in dashboard.</t>
  </si>
  <si>
    <t>Finance accounting system &amp; spreadsheets</t>
  </si>
  <si>
    <t>Benchmark: £1.1M MTD. Show vs plan variance.</t>
  </si>
  <si>
    <t>30</t>
  </si>
  <si>
    <t>Revenue vs Plan Variance</t>
  </si>
  <si>
    <t>Difference between actual revenue recognised MTD and planned revenue for the month.</t>
  </si>
  <si>
    <t>Revenue Recognised MTD − Revenue Plan MTD. Show as £ and %.</t>
  </si>
  <si>
    <t>Finance actuals vs revenue plan (set at project kick-off or annual plan)</t>
  </si>
  <si>
    <t>Finance system + revenue plan</t>
  </si>
  <si>
    <t>Monthly (ideally weekly)</t>
  </si>
  <si>
    <t>£ and %</t>
  </si>
  <si>
    <t>Finance to produce monthly revenue plan at project level. Portfolio Office consolidates. Compare to actuals monthly.</t>
  </si>
  <si>
    <t>Benchmark: ▲£140k vs plan.</t>
  </si>
  <si>
    <t>31</t>
  </si>
  <si>
    <t>Average Project Margin %</t>
  </si>
  <si>
    <t>Margin</t>
  </si>
  <si>
    <t>Average gross margin across all active projects (revenue minus direct delivery cost).</t>
  </si>
  <si>
    <t>AVERAGE(Project Margin %) where Margin = (Revenue − Direct Costs) / Revenue × 100.</t>
  </si>
  <si>
    <t>Finance calculates margin per project from timesheet costs + expenses vs recognised revenue</t>
  </si>
  <si>
    <t>Finance system</t>
  </si>
  <si>
    <t>Finance to produce per-project margin statement monthly. Portfolio Office aggregates. Dashboard shows average and per-project.</t>
  </si>
  <si>
    <t>Target: 35%. Benchmark: 31%.</t>
  </si>
  <si>
    <t>≥35%</t>
  </si>
  <si>
    <t>28–&lt;35%</t>
  </si>
  <si>
    <t>&lt;28%</t>
  </si>
  <si>
    <t>32</t>
  </si>
  <si>
    <t>Billable Utilisation %</t>
  </si>
  <si>
    <t>Percentage of total logged hours that are billable to a client — commercial lens on utilisation.</t>
  </si>
  <si>
    <t>Billable hours / Total hours logged (excl. Corporate) × 100 (all resources, UK + India).</t>
  </si>
  <si>
    <t>Timesheet data — hours logged to billable project codes</t>
  </si>
  <si>
    <t>Finance. Benchmark 78%</t>
  </si>
  <si>
    <t>&lt;82-70%</t>
  </si>
  <si>
    <t>33</t>
  </si>
  <si>
    <t>Win Rate (6-month rolling)</t>
  </si>
  <si>
    <t>Pipeline</t>
  </si>
  <si>
    <t>Percentage of pitched opportunities won in the rolling 6-month window.</t>
  </si>
  <si>
    <t>COUNT(Opportunities Won) / COUNT(Opportunities Pitched) × 100 over rolling 6 months.</t>
  </si>
  <si>
    <t>CPs log pitches and outcomes in Zen X</t>
  </si>
  <si>
    <t>Zen X</t>
  </si>
  <si>
    <t>Client Partner / Growth team (Mike Farrell)</t>
  </si>
  <si>
    <t>Rolling 6 months</t>
  </si>
  <si>
    <t>Win/loss data not consistently logged in Zen X. Tracked informally by CPs.</t>
  </si>
  <si>
    <t>Pitches and outcomes not systematically recorded. No Zen X discipline enforced.</t>
  </si>
  <si>
    <t>Mandate CP updates Zen X at each stage: pitched, won, lost. Define 'pitched' (formal proposal submitted). Portfolio Office extracts monthly.</t>
  </si>
  <si>
    <t>Client Partner</t>
  </si>
  <si>
    <t>Benchmark: 44% (5 won of 11 pitched).</t>
  </si>
  <si>
    <t>≥50%</t>
  </si>
  <si>
    <t>35–&lt;50%</t>
  </si>
  <si>
    <t>&lt;35%</t>
  </si>
  <si>
    <t>Mike</t>
  </si>
  <si>
    <t>34</t>
  </si>
  <si>
    <t>Pipeline Value</t>
  </si>
  <si>
    <t>Total value of opportunities currently in pipeline from Prospect to Negotiation stage.</t>
  </si>
  <si>
    <t>SUM(Opportunity Value) where Stage ∈ {Prospect, Qualified, Proposal, Negotiation}.</t>
  </si>
  <si>
    <t>CPs maintain pipeline in Zen X</t>
  </si>
  <si>
    <t>Current snapshot</t>
  </si>
  <si>
    <t>Zen X not consistently used by all CPs. Pipeline values not reliably maintained.</t>
  </si>
  <si>
    <t>Zen X hygiene is inconsistent. Pipeline value not a reliable source of truth.</t>
  </si>
  <si>
    <t>Enforce Zen X pipeline hygiene standard. Weekly CP pipeline review. Portfolio Office extracts pipeline value each Friday.</t>
  </si>
  <si>
    <t>Benchmark: £3.35M. Scope: Prospect to Negotiation.</t>
  </si>
  <si>
    <t>35</t>
  </si>
  <si>
    <t>Repeat Business Rate %</t>
  </si>
  <si>
    <t>Percentage of revenue (or active projects) in the current period derived from existing clients (re-contracted or extended).</t>
  </si>
  <si>
    <t>Revenue (or active projects) from existing clients (renewed/extended) / Total Revenue × 100.</t>
  </si>
  <si>
    <t>CP identifies new vs repeat at project initiation. Finance validates against client history.</t>
  </si>
  <si>
    <t>Zen X + Finance</t>
  </si>
  <si>
    <t>Rolling 12 months or current period</t>
  </si>
  <si>
    <t>Repeat vs new business not formally categorised in Zen X or Finance.</t>
  </si>
  <si>
    <t>No field in Zen X or project register to flag new vs repeat client engagement.</t>
  </si>
  <si>
    <t>Add New vs Repeat flag to project register and Zen X. CP confirms at kick-off. Finance validates.</t>
  </si>
  <si>
    <t>Target: 60%. Benchmark: 68%.</t>
  </si>
  <si>
    <t>≥60%</t>
  </si>
  <si>
    <t>50–&lt;60%</t>
  </si>
  <si>
    <t>&lt;50%</t>
  </si>
  <si>
    <t>36</t>
  </si>
  <si>
    <t>Average Days to Contract</t>
  </si>
  <si>
    <t>Average number of calendar days from opportunity creation/bid submission to signed contract.</t>
  </si>
  <si>
    <t>AVERAGE(Contract Signed Date − Opportunity Created/Bid Submitted Date) across deals closed in period.</t>
  </si>
  <si>
    <t>CPs log opportunity creation and contract dates in Zen X</t>
  </si>
  <si>
    <t>Client Partner / Legal</t>
  </si>
  <si>
    <t>Days (whole number .5 or &gt; rolled up)</t>
  </si>
  <si>
    <t>Rolling 3-month average</t>
  </si>
  <si>
    <t>Contract dates not consistently logged in Zen X. Legal/procurement cycle not tracked.</t>
  </si>
  <si>
    <t>No systematic tracking of bid-to-contract timeline.</t>
  </si>
  <si>
    <t>Log bid submission date and contract signed date in Zen X for all opportunities. Calculate automatically.</t>
  </si>
  <si>
    <t>Target: 20 days. Benchmark: 23 days.</t>
  </si>
  <si>
    <t>≤20 days</t>
  </si>
  <si>
    <t>&gt;20–30 days</t>
  </si>
  <si>
    <t>&gt;30 days</t>
  </si>
  <si>
    <t>37</t>
  </si>
  <si>
    <t>Planned vs Actual Invoicing</t>
  </si>
  <si>
    <t>Invoicing</t>
  </si>
  <si>
    <t>Variance between the invoices planned to be raised in the period and the invoices actually raised. Measures billing discipline and cash flow predictability.</t>
  </si>
  <si>
    <t>Planned Invoice Value (period) − Actual Invoice Value (period). Express as £ variance and % variance: (Actual − Plan) / Plan × 100. Report at project level and portfolio total.</t>
  </si>
  <si>
    <t>Invoice schedule set at active project kick-off by CP/Finance. Actuals pulled from Finance/accounting system after month-end close.</t>
  </si>
  <si>
    <t>Finance / Accounting system (e.g. Xero, SAP, NetSuite) + Invoice schedule (project register or Finance tracker)</t>
  </si>
  <si>
    <t>£ (GBP) and % variance — shown per project and portfolio total</t>
  </si>
  <si>
    <t>Current month / rolling quarter</t>
  </si>
  <si>
    <t>No invoice schedule is formally documented at project level. Invoicing is tracked in the Finance system but not compared against a planned schedule. No consolidated portfolio-level invoicing view exists.</t>
  </si>
  <si>
    <t>1. Mandate CP/Finance to document an invoice schedule (date, milestone trigger, expected value) at active project kick-off. 2. Finance records actuals in the same tracker post-invoice. 3. Portfolio Office consolidates monthly. 4. Surface planned vs actual in dashboard with RAG: Green ≤±5%, Amber 6–15%, Red &gt;15% or invoice missed entirely.</t>
  </si>
  <si>
    <t>Distinct from Revenue Recognised (metric #26/#27) — invoicing is a cash/billing event; revenue recognition follows accounting policy and may differ in timing. Both metrics are needed. A missed invoice does not equal unrecognised revenue but does signal cash flow and delivery milestone risk.</t>
  </si>
  <si>
    <t>≤±5% variance</t>
  </si>
  <si>
    <t>&gt;5–15% variance or 1 invoice delayed</t>
  </si>
  <si>
    <t>&gt;15% variance or invoice missed entirely</t>
  </si>
  <si>
    <t>0% variance (invoice on time, full value)</t>
  </si>
  <si>
    <t>38</t>
  </si>
  <si>
    <t>Gross Margin £ (per project and portfolio)</t>
  </si>
  <si>
    <t>Absolute gross margin in pounds (£) for each active project and the portfolio total. Gross margin = Revenue − Direct Delivery Cost. Complements metric #28 (Average Project Margin %) by providing the £ value, enabling prioritisation by commercial impact rather than percentage alone. A project with a high margin % but low £ value may be less commercially significant than a lower-% but higher-value project.</t>
  </si>
  <si>
    <t>Gross Margin £ = Revenue Recognised − Direct Delivery Cost. Direct Delivery Cost = Labour Cost (billable hours × cost rate) + Direct Expenses (travel, subcontractors, software, etc.). Portfolio Gross Margin £ = SUM(Gross Margin £) across all active projects. Gross Margin % (cross-reference) = Gross Margin £ / Revenue Recognised × 100.</t>
  </si>
  <si>
    <t>Revenue from Finance (recognised per accounting policy). Direct costs: labour from timesheets × internal cost rates; expenses from Finance expense system. Finance produces per-project P&amp;L statement monthly.</t>
  </si>
  <si>
    <t>Finance / Accounting system (revenue + costs) + Dynamics Timesheet BI (labour hours) + Expense management system</t>
  </si>
  <si>
    <t>£ (GBP, thousands) — shown per project; portfolio total; with Gross Margin % alongside</t>
  </si>
  <si>
    <t>Current month and cumulative to date; forecast to project completion</t>
  </si>
  <si>
    <t>Gross margin excludes indirect costs (overhead, sales, G&amp;A). It is a project-level delivery margin, not a company P&amp;L net margin. Internal cost rates must be agreed and locked for a period (e.g. annually) to ensure comparability month-on-month. Subcontractor costs are a direct cost and must be included. Do not confuse with margin target set at bid stage — report both bid margin and actual margin to track erosion.</t>
  </si>
  <si>
    <t>Gross Margin % ≥35% (and £ above project-level minimum threshold)</t>
  </si>
  <si>
    <t>Gross Margin % 28–&lt;35%</t>
  </si>
  <si>
    <t>Gross Margin % &lt;28% or £ gross margin negative</t>
  </si>
  <si>
    <t>Gross Margin % ≥35% per project; portfolio total gross margin maximised</t>
  </si>
  <si>
    <t>39</t>
  </si>
  <si>
    <t>Escalations and decisions required per project</t>
  </si>
  <si>
    <t>All escalations and decisions required per project, monitored on a weekly basis</t>
  </si>
  <si>
    <t>PM-maintained log updated weekly</t>
  </si>
  <si>
    <t>Free text</t>
  </si>
  <si>
    <t xml:space="preserve">PMs self-report escalations / decisions needed per project / acct; Portfolio Office analyses each report, validates. </t>
  </si>
  <si>
    <t>40</t>
  </si>
  <si>
    <t>Cost RAG per project</t>
  </si>
  <si>
    <t>Measures the project as a whole in terms of whether the forecast cost is in line with approved budget. (Budget RAG: Green = is in line with approved budget).</t>
  </si>
  <si>
    <t>Red: project is over budget.  Amber: project at risk of going over budget unless action is taken.  Green = not over budget &amp; not at risk of going over.</t>
  </si>
  <si>
    <t>PM provides cost actuals vs approved budget at weekly account review</t>
  </si>
  <si>
    <t>Not over budget &amp; not at risk of going over.</t>
  </si>
  <si>
    <t xml:space="preserve"> At risk of going over budget unless action is taken.</t>
  </si>
  <si>
    <t>Over budget</t>
  </si>
  <si>
    <t>41</t>
  </si>
  <si>
    <t>Deals &gt; 4 months in the pipeline</t>
  </si>
  <si>
    <t>Count of all on going deals (not yet been won) which have been in the pipeline for over 4 months</t>
  </si>
  <si>
    <t xml:space="preserve">COUNT(Ongoing deals in the pipeline over 4 months) </t>
  </si>
  <si>
    <t>CPs log deals in Zen X</t>
  </si>
  <si>
    <t>Zn X not consistently used by all CPs. Pipeline values not reliably maintained.</t>
  </si>
  <si>
    <t>Capability Assessment Summary  |  nxzen Portfolio Office  |  DRAFT May 2026</t>
  </si>
  <si>
    <t>Capability
(Y / N / Partial)</t>
  </si>
  <si>
    <t>If YES — Current Process / Source</t>
  </si>
  <si>
    <t>If NO — Gap &amp; Process to Implement</t>
  </si>
  <si>
    <t>Priority</t>
  </si>
  <si>
    <t>Total</t>
  </si>
  <si>
    <t>Check</t>
  </si>
  <si>
    <t>Glossary &amp; Column Guide  |  nxzen Portfolio Office Metric Catalogue</t>
  </si>
  <si>
    <t>COLUMN DEFINITIONS</t>
  </si>
  <si>
    <t>The name of the metric as it appears on the Portfolio Dashboard.</t>
  </si>
  <si>
    <t>Top-level grouping: Portfolio Snapshot | Resource &amp; Utilisation | Delivery Health | Commercial.</t>
  </si>
  <si>
    <t>Second-level grouping within the category.</t>
  </si>
  <si>
    <t>Plain-English explanation of what the metric measures and why it matters.</t>
  </si>
  <si>
    <t>Precise formula or calculation logic. References specific data fields.</t>
  </si>
  <si>
    <t>The business process or activity that generates the underlying data.</t>
  </si>
  <si>
    <t>The technology, system, or file where the data lives or will live.</t>
  </si>
  <si>
    <t>The role or team responsible for providing accurate data for this metric.</t>
  </si>
  <si>
    <t>How often the metric should be refreshed (Weekly / Monthly / On event).</t>
  </si>
  <si>
    <t>How the metric is expressed: count, %, £, days, RAG, etc.</t>
  </si>
  <si>
    <t>The time window the metric covers (e.g., current week, MTD, rolling 6 months).</t>
  </si>
  <si>
    <t>Current Capability (Y/N)</t>
  </si>
  <si>
    <t>Y = data and process exist to report today. Y (partial) = data exists but incomplete or manual. N = capability does not exist.</t>
  </si>
  <si>
    <t>If YES — Current Process</t>
  </si>
  <si>
    <t>For Y or Y (partial): description of how the metric is currently produced and by whom.</t>
  </si>
  <si>
    <t>If YES — Data Source(s)</t>
  </si>
  <si>
    <t>For Y or Y (partial): the specific file, system, or report used today.</t>
  </si>
  <si>
    <t>If NO — Gap Description</t>
  </si>
  <si>
    <t>For N or Y (partial): description of what is missing (data, process, system, discipline).</t>
  </si>
  <si>
    <t>If NO — Process to Implement</t>
  </si>
  <si>
    <t>For N or Y (partial): the steps required to establish the capability.</t>
  </si>
  <si>
    <t>Priority to Implement</t>
  </si>
  <si>
    <t>High = blocking dashboard launch. Medium = important but workaround exists. Low = nice-to-have.</t>
  </si>
  <si>
    <t>Target date for capability to be in place (where applicable).</t>
  </si>
  <si>
    <t>Dashboard Section</t>
  </si>
  <si>
    <t>Which section of the Portfolio Dashboard this metric appears in.</t>
  </si>
  <si>
    <t>KPI Owner</t>
  </si>
  <si>
    <t>The individual ultimately accountable for this metric being accurate and up to date.</t>
  </si>
  <si>
    <t>Any caveats, exclusions, scope limitations, or context needed to interpret the metric correctly.</t>
  </si>
  <si>
    <t>RAG Green / Amber / Red Threshold</t>
  </si>
  <si>
    <t>The threshold values used to calculate the RAG status for this metric.</t>
  </si>
  <si>
    <t>Benchmark / Target</t>
  </si>
  <si>
    <t>The target or aspirational value for this metric, or a benchmark from the wireframe.</t>
  </si>
  <si>
    <t>KEY TERMS</t>
  </si>
  <si>
    <t>RAG Status</t>
  </si>
  <si>
    <t>Red / Amber / Green health indicator. Criteria defined per metric and in the dashboard design document.</t>
  </si>
  <si>
    <t>Managed Services</t>
  </si>
  <si>
    <t>Excluded from portfolio scope for this dashboard. Tracked separately.</t>
  </si>
  <si>
    <t>Portfolio Office</t>
  </si>
  <si>
    <t>Laura Hargrave (owner). Responsible for consolidating data, maintaining this catalogue, and producing the weekly dashboard.</t>
  </si>
  <si>
    <t>Account Review</t>
  </si>
  <si>
    <t>Weekly structured conversation between PM/CP and Portfolio Office to capture project status data.</t>
  </si>
  <si>
    <t>Project Manager — responsible for day-to-day delivery data (schedule, risk, resource, budget).</t>
  </si>
  <si>
    <t>CP</t>
  </si>
  <si>
    <t>Client Partner — responsible for commercial and client relationship data.</t>
  </si>
  <si>
    <t>nxzen UK</t>
  </si>
  <si>
    <t>Scope of this dashboard. India resources included in utilisation metrics but India projects excluded unless delivered jointly.</t>
  </si>
  <si>
    <t>Billable Utilisation</t>
  </si>
  <si>
    <t>Hours charged to a client engagement / total contracted hours available. Excludes leave and internal time.</t>
  </si>
  <si>
    <t>Opportunities tracked in CRM from Prospect stage through to Negotiation. Excludes Won/Lost/On Hold.</t>
  </si>
  <si>
    <t>Revenue Recognised</t>
  </si>
  <si>
    <t>Revenue formally recognised under the company's accounting policy. Not invoiced or received — recognised.</t>
  </si>
  <si>
    <t>Suggested Additional Metrics &amp; Fields  |  For Discussion</t>
  </si>
  <si>
    <t>Metric / Field</t>
  </si>
  <si>
    <t>Rationale / Why It Matters</t>
  </si>
  <si>
    <t>Days Since Last Client Update</t>
  </si>
  <si>
    <t>Flags projects where the CP has not logged a client interaction recently. Early warning of relationship drift. Helps Portfolio Office prompt CPs proactively.</t>
  </si>
  <si>
    <t>Forecast Completion Date vs Baseline</t>
  </si>
  <si>
    <t>For each project: original end date vs current forecast end date. Quantifies schedule drift more precisely than RAG alone.</t>
  </si>
  <si>
    <t>Revenue at Risk (£)</t>
  </si>
  <si>
    <t>Value of active project revenue at risk based on Red/Amber-rated projects. Aggregated commercial exposure view for leadership.</t>
  </si>
  <si>
    <t>Gross Margin £ per Project</t>
  </si>
  <si>
    <t>Absolute margin value (not just %) allows leadership to prioritise by commercial impact, not just percentage.</t>
  </si>
  <si>
    <t>Open High Risks</t>
  </si>
  <si>
    <t>Draw attention to any risks classed as High or Very High.</t>
  </si>
  <si>
    <t>Staff Sentiment / Wellbeing Flag</t>
  </si>
  <si>
    <t>Simple weekly pulse (Green/Amber/Red) per project team flagged by PM. Early indicator of delivery risk from people fatigue or conflict.</t>
  </si>
  <si>
    <t>Quality RAG per Project</t>
  </si>
  <si>
    <t>Measure how we performed at each project stage / gate (standards yet to be defined and agreed.  Green = all gate criteria met, Amber = ≤2 minor fails v gate criteria, Red = 1 or more major fails or &gt;2 minors v gate criteria)</t>
  </si>
  <si>
    <t>Days in Current Phase</t>
  </si>
  <si>
    <t>How long each project has been in its current phase (Discovery, Design, Build etc). Flags stalled projects before they become Red.</t>
  </si>
  <si>
    <t>Change Requests Raised (count)</t>
  </si>
  <si>
    <t>Number of formal change requests raised per project per period. Proxy for scope stability and client behaviour.</t>
  </si>
  <si>
    <t>Invoice Outstanding &gt; 30 Days (£)</t>
  </si>
  <si>
    <t>Value of invoices unpaid beyond terms. Finance health indicator; also flags client relationship risk.</t>
  </si>
  <si>
    <t>Contractor vs Permanent Split (%)</t>
  </si>
  <si>
    <t>Proportion of delivery resource that is contractor vs permanent. Impacts margin and risk profile.</t>
  </si>
  <si>
    <t>Skills Gap Index</t>
  </si>
  <si>
    <t>For each project: number of required skills not covered by current allocation. More precise than Resource RAG.</t>
  </si>
  <si>
    <t>Project Profitability at Completion (PAC)</t>
  </si>
  <si>
    <t>Forecast final margin at project completion, updated monthly. Better forward indicator than margin-to-date.</t>
  </si>
  <si>
    <t>NPS / Client Health Score</t>
  </si>
  <si>
    <t>Structured Net Promoter Score or health score collected quarterly from key client stakeholders. More rigorous than ad-hoc CSAT.</t>
  </si>
  <si>
    <t>Time to Mobilise (days)</t>
  </si>
  <si>
    <t>Days from contract signed to project kick-off. Measures internal efficiency in standing up new projects.</t>
  </si>
  <si>
    <t>Low</t>
  </si>
  <si>
    <t>Portfolio Concentration Risk</t>
  </si>
  <si>
    <t>% of total portfolio revenue from single largest client. Risk management metric for leadership.</t>
  </si>
  <si>
    <t>Lessons Learned Captured (Y/N)</t>
  </si>
  <si>
    <t>Flag per completed project whether a lessons learned exercise was conducted and documented. Drives continuous improvement.</t>
  </si>
  <si>
    <t>TBC</t>
  </si>
  <si>
    <t>Open High Risks (count)</t>
  </si>
  <si>
    <t>Count of open high or very high risks across all active projects.</t>
  </si>
  <si>
    <t>COUNT (Risk Status = Open &amp; high or very high)</t>
  </si>
  <si>
    <t>PM-maintained risk log updated at weekly account review</t>
  </si>
  <si>
    <t>Risk log (Excel / PPM)</t>
  </si>
  <si>
    <t>PM (owner), Portfolio Office (consolidated)</t>
  </si>
  <si>
    <t>Portfolio Snapshot / Delivery Health</t>
  </si>
  <si>
    <t>See nxzen group risk register for thresholds / ratings.</t>
  </si>
  <si>
    <t>1–2</t>
  </si>
  <si>
    <t>Budget Variance % per Project</t>
  </si>
  <si>
    <t>Budget</t>
  </si>
  <si>
    <t>Variance between forecast total cost and approved budget for each active project.</t>
  </si>
  <si>
    <t>(Forecast Cost − Approved Budget) / Approved Budget × 100.</t>
  </si>
  <si>
    <t>PM provides cost forecast; Finance provides actuals</t>
  </si>
  <si>
    <t>Current month forecast vs baseline</t>
  </si>
  <si>
    <t>Displayed as bar chart in dashboard. Green ±5%, Amber &gt;5–15%, Red &gt;15%.</t>
  </si>
  <si>
    <t>±5%</t>
  </si>
  <si>
    <t>&gt;5–15%</t>
  </si>
  <si>
    <t>&gt;15%</t>
  </si>
  <si>
    <t>Reviewed with Sarah B on 29/04/26.  Data required for this measure is already available in report 21 Target Margin RAG per project.</t>
  </si>
  <si>
    <t>Planned Budget vs Actual Cost</t>
  </si>
  <si>
    <t>Comparison of approved active project budget against actual costs incurred to date (and forecast to completion). Measures cost control and financial health at project and portfolio level. Distinct from Budget RAG (#20) which is a directional indicator — this metric provides the underlying £ figures.</t>
  </si>
  <si>
    <t>At project level: Actual Cost to Date vs Budget to Date (earned value approach where possible). Variance = Actual Cost − Budget. Variance % = (Actual Cost − Budget) / Budget × 100. Also report: Estimate at Completion (EAC) vs Total Approved Budget to give a completion forecast. Portfolio total = SUM across all active projects.</t>
  </si>
  <si>
    <t>Finance system provides actual costs (timesheets converted to cost + direct expenses). PM provides budget baseline and cost forecast to completion. Finance validates.</t>
  </si>
  <si>
    <t>Finance / Accounting system (actuals: labour cost + expenses) + Project budget tracker (baseline + forecast)</t>
  </si>
  <si>
    <t>Finance (actuals), PM (budget baseline and forecast to completion)</t>
  </si>
  <si>
    <t>Monthly (minimum); weekly where Finance system allows</t>
  </si>
  <si>
    <t>£ (GBP) — Actual Cost, Budget to Date, Variance £, Variance %, EAC vs Total Budget</t>
  </si>
  <si>
    <t>Current month actuals; cumulative to date; forecast to completion</t>
  </si>
  <si>
    <t>Actual costs are held in the Finance system but are not systematically compared against a project-level budget baseline. No standard budget tracker exists per project. Forecast to completion (EAC) is not formally produced. Cost data is not currently surfaced at portfolio level.</t>
  </si>
  <si>
    <t>1. Define standard project budget template: approved budget by phase/month, actual cost feed from Finance, PM-updated forecast to completion. 2. Finance to provide monthly actual cost report per project code. 3. PM to update forecast to completion monthly. 4. Portfolio Office consolidates and calculates variance. 5. RAG-rate: Green ±5%, Amber &gt;5–15%, Red &gt;15%. 6. Flag projects where EAC exceeds total approved budget.</t>
  </si>
  <si>
    <t>Labour cost = hours logged × blended day rate (or agreed internal cost rate). Expenses = receipted project expenses. Excludes indirect overhead allocation unless agreed with Finance. Budget baseline is the approved budget at active project kick-off (or last approved change order if scope change has been agreed). Do not use forecast as baseline — the baseline must be locked.</t>
  </si>
  <si>
    <t>Actual cost within ±5% of budget to date</t>
  </si>
  <si>
    <t>Actual cost &gt;5–15% over budget to date, or EAC &gt;5–15% over total budget</t>
  </si>
  <si>
    <t>Actual cost &gt;15% over budget to date, or EAC &gt;15% over total budget, or forecast to completion exceeds approved budget</t>
  </si>
  <si>
    <t>Actual cost = Budget to date (0% 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</si>
</sst>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27">
    <font>
      <sz val="11"/>
      <color theme="1"/>
      <name val="Calibri"/>
      <family val="2"/>
      <scheme val="minor"/>
    </font>
    <font>
      <b/>
      <sz val="12"/>
      <color rgb="FFFFFFFF"/>
      <name val="Arial"/>
      <family val="2"/>
    </font>
    <font>
      <b/>
      <sz val="9"/>
      <color rgb="FFFFFFFF"/>
      <name val="Arial"/>
      <family val="2"/>
    </font>
    <font>
      <b/>
      <sz val="10"/>
      <color rgb="FF1B2A4A"/>
      <name val="Arial"/>
      <family val="2"/>
    </font>
    <font>
      <i/>
      <sz val="10"/>
      <color rgb="FF4A5568"/>
      <name val="Arial"/>
      <family val="2"/>
    </font>
    <font>
      <sz val="10"/>
      <color rgb="FF000000"/>
      <name val="Arial"/>
      <family val="2"/>
    </font>
    <font>
      <b/>
      <sz val="10"/>
      <color rgb="FF1A7A4A"/>
      <name val="Arial"/>
      <family val="2"/>
    </font>
    <font>
      <b/>
      <sz val="10"/>
      <color rgb="FFC0392B"/>
      <name val="Arial"/>
      <family val="2"/>
    </font>
    <font>
      <b/>
      <sz val="10"/>
      <color rgb="FFD68910"/>
      <name val="Arial"/>
      <family val="2"/>
    </font>
    <font>
      <b/>
      <sz val="11"/>
      <color rgb="FFFFFFFF"/>
      <name val="Arial"/>
      <family val="2"/>
    </font>
    <font>
      <b/>
      <sz val="10"/>
      <color rgb="FFFFFFFF"/>
      <name val="Arial"/>
      <family val="2"/>
    </font>
    <font>
      <u/>
      <sz val="11"/>
      <color theme="10"/>
      <name val="Calibri"/>
      <family val="2"/>
      <scheme val="minor"/>
    </font>
    <font>
      <sz val="10"/>
      <color theme="1"/>
      <name val="Arial"/>
      <family val="2"/>
    </font>
    <font>
      <sz val="11"/>
      <color theme="1"/>
      <name val="Arial"/>
      <family val="2"/>
    </font>
    <font>
      <b/>
      <sz val="10"/>
      <color theme="0"/>
      <name val="Arial"/>
      <family val="2"/>
    </font>
    <font>
      <b/>
      <sz val="10"/>
      <color theme="1"/>
      <name val="Arial"/>
      <family val="2"/>
    </font>
    <font>
      <b/>
      <sz val="10"/>
      <color theme="3"/>
      <name val="Arial"/>
      <family val="2"/>
    </font>
    <font>
      <u/>
      <sz val="10"/>
      <color theme="10"/>
      <name val="Arial"/>
      <family val="2"/>
    </font>
    <font>
      <strike/>
      <sz val="10"/>
      <color rgb="FF000000"/>
      <name val="Arial"/>
      <family val="2"/>
    </font>
    <font>
      <b/>
      <sz val="14"/>
      <color theme="0"/>
      <name val="Arial"/>
      <family val="2"/>
    </font>
    <font>
      <sz val="12"/>
      <name val="Arial"/>
      <family val="2"/>
    </font>
    <font>
      <b/>
      <sz val="11"/>
      <color theme="1"/>
      <name val="Arial"/>
      <family val="2"/>
    </font>
    <font>
      <sz val="8"/>
      <name val="Calibri"/>
      <family val="2"/>
      <scheme val="minor"/>
    </font>
    <font>
      <b/>
      <sz val="11"/>
      <color theme="1"/>
      <name val="Calibri"/>
      <family val="2"/>
      <scheme val="minor"/>
    </font>
    <font>
      <sz val="10"/>
      <color rgb="FF000000"/>
      <name val="Arial"/>
    </font>
    <font>
      <sz val="11"/>
      <color theme="1"/>
      <name val="Calibri"/>
      <family val="2"/>
      <scheme val="minor"/>
    </font>
    <font>
      <sz val="10"/>
      <color theme="1"/>
      <name val="Arial"/>
    </font>
  </fonts>
  <fills count="17">
    <fill>
      <patternFill patternType="none"/>
    </fill>
    <fill>
      <patternFill patternType="gray125"/>
    </fill>
    <fill>
      <patternFill patternType="solid">
        <fgColor rgb="FF2E5FA3"/>
      </patternFill>
    </fill>
    <fill>
      <patternFill patternType="solid">
        <fgColor rgb="FF1A6B5A"/>
      </patternFill>
    </fill>
    <fill>
      <patternFill patternType="solid">
        <fgColor rgb="FF5B4F9B"/>
      </patternFill>
    </fill>
    <fill>
      <patternFill patternType="solid">
        <fgColor rgb="FF8B4513"/>
      </patternFill>
    </fill>
    <fill>
      <patternFill patternType="solid">
        <fgColor rgb="FF1A6B7A"/>
      </patternFill>
    </fill>
    <fill>
      <patternFill patternType="solid">
        <fgColor rgb="FF7A1A1A"/>
      </patternFill>
    </fill>
    <fill>
      <patternFill patternType="solid">
        <fgColor rgb="FFFFFFFF"/>
      </patternFill>
    </fill>
    <fill>
      <patternFill patternType="solid">
        <fgColor rgb="FFD6F0E2"/>
      </patternFill>
    </fill>
    <fill>
      <patternFill patternType="solid">
        <fgColor rgb="FFF7F9FC"/>
      </patternFill>
    </fill>
    <fill>
      <patternFill patternType="solid">
        <fgColor rgb="FFFDECEA"/>
      </patternFill>
    </fill>
    <fill>
      <patternFill patternType="solid">
        <fgColor rgb="FFFEF3CD"/>
      </patternFill>
    </fill>
    <fill>
      <patternFill patternType="solid">
        <fgColor theme="0"/>
        <bgColor indexed="64"/>
      </patternFill>
    </fill>
    <fill>
      <patternFill patternType="solid">
        <fgColor rgb="FF1B2A4A"/>
        <bgColor indexed="64"/>
      </patternFill>
    </fill>
    <fill>
      <patternFill patternType="solid">
        <fgColor rgb="FF2E5FA3"/>
        <bgColor indexed="64"/>
      </patternFill>
    </fill>
    <fill>
      <patternFill patternType="solid">
        <fgColor theme="6"/>
        <bgColor indexed="64"/>
      </patternFill>
    </fill>
  </fills>
  <borders count="22">
    <border>
      <left/>
      <right/>
      <top/>
      <bottom/>
      <diagonal/>
    </border>
    <border>
      <left style="thin">
        <color rgb="FF8899AA"/>
      </left>
      <right style="thin">
        <color rgb="FF8899AA"/>
      </right>
      <top style="medium">
        <color rgb="FF1B2A4A"/>
      </top>
      <bottom style="medium">
        <color rgb="FF1B2A4A"/>
      </bottom>
      <diagonal/>
    </border>
    <border>
      <left style="thin">
        <color rgb="FFB0B8C8"/>
      </left>
      <right style="thin">
        <color rgb="FFB0B8C8"/>
      </right>
      <top style="thin">
        <color rgb="FFB0B8C8"/>
      </top>
      <bottom style="thin">
        <color rgb="FFB0B8C8"/>
      </bottom>
      <diagonal/>
    </border>
    <border>
      <left/>
      <right/>
      <top style="thin">
        <color rgb="FFB0B8C8"/>
      </top>
      <bottom style="thin">
        <color rgb="FFB0B8C8"/>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8899AA"/>
      </left>
      <right style="thin">
        <color rgb="FF8899AA"/>
      </right>
      <top style="medium">
        <color rgb="FF1B2A4A"/>
      </top>
      <bottom/>
      <diagonal/>
    </border>
    <border>
      <left style="thin">
        <color rgb="FF8899AA"/>
      </left>
      <right/>
      <top style="medium">
        <color rgb="FF1B2A4A"/>
      </top>
      <bottom/>
      <diagonal/>
    </border>
    <border>
      <left style="thin">
        <color rgb="FF000000"/>
      </left>
      <right style="thin">
        <color rgb="FF000000"/>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1" fillId="0" borderId="0" applyNumberFormat="0" applyFill="0" applyBorder="0" applyAlignment="0" applyProtection="0"/>
    <xf numFmtId="9" fontId="25" fillId="0" borderId="0" applyFont="0" applyFill="0" applyBorder="0" applyAlignment="0" applyProtection="0"/>
  </cellStyleXfs>
  <cellXfs count="102">
    <xf numFmtId="0" fontId="0" fillId="0" borderId="0" xfId="0"/>
    <xf numFmtId="0" fontId="3" fillId="8" borderId="2" xfId="0" applyFont="1" applyFill="1" applyBorder="1" applyAlignment="1">
      <alignment horizontal="left" vertical="center" wrapText="1"/>
    </xf>
    <xf numFmtId="0" fontId="5" fillId="8" borderId="2" xfId="0" applyFont="1" applyFill="1" applyBorder="1" applyAlignment="1">
      <alignment horizontal="left" vertical="center" wrapText="1"/>
    </xf>
    <xf numFmtId="0" fontId="6" fillId="9" borderId="2" xfId="0" applyFont="1" applyFill="1" applyBorder="1" applyAlignment="1">
      <alignment horizontal="center" vertical="center" wrapText="1"/>
    </xf>
    <xf numFmtId="0" fontId="3" fillId="10" borderId="2" xfId="0" applyFont="1" applyFill="1" applyBorder="1" applyAlignment="1">
      <alignment horizontal="left" vertical="center" wrapText="1"/>
    </xf>
    <xf numFmtId="0" fontId="5" fillId="10" borderId="2" xfId="0" applyFont="1" applyFill="1" applyBorder="1" applyAlignment="1">
      <alignment horizontal="left" vertical="center" wrapText="1"/>
    </xf>
    <xf numFmtId="0" fontId="7" fillId="11" borderId="2" xfId="0" applyFont="1" applyFill="1" applyBorder="1" applyAlignment="1">
      <alignment horizontal="center" vertical="center" wrapText="1"/>
    </xf>
    <xf numFmtId="0" fontId="8" fillId="12" borderId="2" xfId="0" applyFont="1" applyFill="1" applyBorder="1" applyAlignment="1">
      <alignment horizontal="center" vertical="center" wrapText="1"/>
    </xf>
    <xf numFmtId="0" fontId="0" fillId="0" borderId="0" xfId="0" applyAlignment="1">
      <alignment horizontal="center"/>
    </xf>
    <xf numFmtId="0" fontId="10" fillId="15" borderId="1" xfId="0" applyFont="1" applyFill="1" applyBorder="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left" vertical="center" wrapText="1"/>
    </xf>
    <xf numFmtId="0" fontId="13" fillId="0" borderId="0" xfId="0" applyFont="1"/>
    <xf numFmtId="0" fontId="14" fillId="15" borderId="13" xfId="0" applyFont="1" applyFill="1" applyBorder="1" applyAlignment="1">
      <alignment horizontal="center" vertical="center" wrapText="1"/>
    </xf>
    <xf numFmtId="0" fontId="15" fillId="15" borderId="16" xfId="0" applyFont="1" applyFill="1" applyBorder="1" applyAlignment="1">
      <alignment horizontal="center" vertical="center" wrapText="1"/>
    </xf>
    <xf numFmtId="0" fontId="13" fillId="0" borderId="0" xfId="0" applyFont="1" applyAlignment="1">
      <alignment horizontal="center"/>
    </xf>
    <xf numFmtId="0" fontId="13" fillId="0" borderId="0" xfId="0" applyFont="1" applyAlignment="1">
      <alignment horizontal="left" vertical="center"/>
    </xf>
    <xf numFmtId="0" fontId="13" fillId="0" borderId="0" xfId="0" applyFont="1" applyAlignment="1">
      <alignment horizontal="center" vertical="center"/>
    </xf>
    <xf numFmtId="0" fontId="13" fillId="0" borderId="0" xfId="0" applyFont="1" applyAlignment="1">
      <alignment horizontal="left" vertical="center" wrapText="1"/>
    </xf>
    <xf numFmtId="0" fontId="8" fillId="12" borderId="17" xfId="0" applyFont="1" applyFill="1" applyBorder="1" applyAlignment="1">
      <alignment horizontal="center" vertical="center" wrapText="1"/>
    </xf>
    <xf numFmtId="0" fontId="12" fillId="13" borderId="17" xfId="0" applyFont="1" applyFill="1" applyBorder="1" applyAlignment="1">
      <alignment horizontal="left" vertical="center" wrapText="1"/>
    </xf>
    <xf numFmtId="0" fontId="12" fillId="13" borderId="17" xfId="0" applyFont="1" applyFill="1" applyBorder="1" applyAlignment="1">
      <alignment horizontal="center" vertical="center" wrapText="1"/>
    </xf>
    <xf numFmtId="0" fontId="17" fillId="13" borderId="17" xfId="1" applyFont="1" applyFill="1" applyBorder="1" applyAlignment="1">
      <alignment horizontal="left" vertical="center" wrapText="1"/>
    </xf>
    <xf numFmtId="0" fontId="7" fillId="11" borderId="17" xfId="0" applyFont="1" applyFill="1" applyBorder="1" applyAlignment="1">
      <alignment horizontal="center" vertical="center" wrapText="1"/>
    </xf>
    <xf numFmtId="0" fontId="6" fillId="9" borderId="17" xfId="0" applyFont="1" applyFill="1" applyBorder="1" applyAlignment="1">
      <alignment horizontal="center" vertical="center" wrapText="1"/>
    </xf>
    <xf numFmtId="0" fontId="18" fillId="13" borderId="17" xfId="0" applyFont="1" applyFill="1" applyBorder="1" applyAlignment="1">
      <alignment horizontal="left" vertical="center" wrapText="1"/>
    </xf>
    <xf numFmtId="0" fontId="19" fillId="15" borderId="4" xfId="0" applyFont="1" applyFill="1" applyBorder="1" applyAlignment="1">
      <alignment horizontal="center"/>
    </xf>
    <xf numFmtId="0" fontId="20" fillId="0" borderId="4" xfId="0" applyFont="1" applyBorder="1" applyAlignment="1">
      <alignment horizontal="center" vertical="center"/>
    </xf>
    <xf numFmtId="14" fontId="20" fillId="0" borderId="4" xfId="0" applyNumberFormat="1" applyFont="1" applyBorder="1" applyAlignment="1">
      <alignment horizontal="center" vertical="center"/>
    </xf>
    <xf numFmtId="0" fontId="20" fillId="0" borderId="4" xfId="0" applyFont="1" applyBorder="1" applyAlignment="1">
      <alignment vertical="top" wrapText="1"/>
    </xf>
    <xf numFmtId="0" fontId="13" fillId="0" borderId="0" xfId="0" applyFont="1" applyAlignment="1">
      <alignment vertical="center"/>
    </xf>
    <xf numFmtId="0" fontId="21" fillId="0" borderId="0" xfId="0" applyFont="1" applyAlignment="1">
      <alignment horizontal="left"/>
    </xf>
    <xf numFmtId="0" fontId="21" fillId="0" borderId="0" xfId="0" applyFont="1" applyAlignment="1">
      <alignment horizontal="center"/>
    </xf>
    <xf numFmtId="0" fontId="23" fillId="0" borderId="0" xfId="0" applyFont="1" applyAlignment="1">
      <alignment horizontal="center"/>
    </xf>
    <xf numFmtId="0" fontId="21" fillId="0" borderId="19" xfId="0" applyFont="1" applyBorder="1" applyAlignment="1">
      <alignment horizontal="center" vertical="center"/>
    </xf>
    <xf numFmtId="0" fontId="21" fillId="0" borderId="20" xfId="0" applyFont="1" applyBorder="1" applyAlignment="1">
      <alignment horizontal="center" vertical="center"/>
    </xf>
    <xf numFmtId="0" fontId="3" fillId="13" borderId="17" xfId="0" applyFont="1" applyFill="1" applyBorder="1" applyAlignment="1">
      <alignment horizontal="left" vertical="center" wrapText="1"/>
    </xf>
    <xf numFmtId="0" fontId="4" fillId="13" borderId="17" xfId="0" applyFont="1" applyFill="1" applyBorder="1" applyAlignment="1">
      <alignment horizontal="center" vertical="center" wrapText="1"/>
    </xf>
    <xf numFmtId="0" fontId="5" fillId="13" borderId="17" xfId="0" applyFont="1" applyFill="1" applyBorder="1" applyAlignment="1">
      <alignment horizontal="center" vertical="center" wrapText="1"/>
    </xf>
    <xf numFmtId="0" fontId="5" fillId="13" borderId="17" xfId="0" applyFont="1" applyFill="1" applyBorder="1" applyAlignment="1">
      <alignment horizontal="left" vertical="center" wrapText="1"/>
    </xf>
    <xf numFmtId="0" fontId="7" fillId="13" borderId="17" xfId="0" applyFont="1" applyFill="1" applyBorder="1" applyAlignment="1">
      <alignment horizontal="center" vertical="center" wrapText="1"/>
    </xf>
    <xf numFmtId="164" fontId="5" fillId="13" borderId="17" xfId="0" applyNumberFormat="1" applyFont="1" applyFill="1" applyBorder="1" applyAlignment="1">
      <alignment horizontal="center" vertical="center" wrapText="1"/>
    </xf>
    <xf numFmtId="0" fontId="24" fillId="13" borderId="17" xfId="0" applyFont="1" applyFill="1" applyBorder="1" applyAlignment="1">
      <alignment horizontal="left" vertical="center" wrapText="1"/>
    </xf>
    <xf numFmtId="0" fontId="3" fillId="13" borderId="18" xfId="0" applyFont="1" applyFill="1" applyBorder="1" applyAlignment="1">
      <alignment horizontal="center" vertical="center" wrapText="1"/>
    </xf>
    <xf numFmtId="0" fontId="21" fillId="0" borderId="17" xfId="0" applyFont="1" applyBorder="1" applyAlignment="1">
      <alignment horizontal="center" vertical="center"/>
    </xf>
    <xf numFmtId="0" fontId="24" fillId="13" borderId="17" xfId="0" applyFont="1" applyFill="1" applyBorder="1" applyAlignment="1">
      <alignment horizontal="center" vertical="center" wrapText="1"/>
    </xf>
    <xf numFmtId="0" fontId="21" fillId="13" borderId="20" xfId="0" applyFont="1" applyFill="1" applyBorder="1" applyAlignment="1">
      <alignment horizontal="center" vertical="center"/>
    </xf>
    <xf numFmtId="0" fontId="11" fillId="13" borderId="17" xfId="1" applyFill="1" applyBorder="1" applyAlignment="1">
      <alignment horizontal="left" vertical="center" wrapText="1"/>
    </xf>
    <xf numFmtId="1" fontId="8" fillId="12" borderId="2" xfId="0" applyNumberFormat="1" applyFont="1" applyFill="1" applyBorder="1" applyAlignment="1">
      <alignment horizontal="center" vertical="center" wrapText="1"/>
    </xf>
    <xf numFmtId="1" fontId="9" fillId="2" borderId="3" xfId="0" applyNumberFormat="1" applyFont="1" applyFill="1" applyBorder="1" applyAlignment="1">
      <alignment horizontal="center" vertical="center" wrapText="1"/>
    </xf>
    <xf numFmtId="0" fontId="3" fillId="13" borderId="21" xfId="0" applyFont="1" applyFill="1" applyBorder="1" applyAlignment="1">
      <alignment horizontal="left" vertical="center" wrapText="1"/>
    </xf>
    <xf numFmtId="0" fontId="4" fillId="13" borderId="21"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5" fillId="13" borderId="21" xfId="0" applyFont="1" applyFill="1" applyBorder="1" applyAlignment="1">
      <alignment horizontal="center" vertical="center" wrapText="1"/>
    </xf>
    <xf numFmtId="0" fontId="5" fillId="13" borderId="21" xfId="0" applyFont="1" applyFill="1" applyBorder="1" applyAlignment="1">
      <alignment horizontal="left" vertical="center" wrapText="1"/>
    </xf>
    <xf numFmtId="0" fontId="12" fillId="13" borderId="21" xfId="0" applyFont="1" applyFill="1" applyBorder="1" applyAlignment="1">
      <alignment horizontal="left" vertical="center" wrapText="1"/>
    </xf>
    <xf numFmtId="0" fontId="12" fillId="13" borderId="21" xfId="0" applyFont="1" applyFill="1" applyBorder="1" applyAlignment="1">
      <alignment horizontal="center" vertical="center" wrapText="1"/>
    </xf>
    <xf numFmtId="164" fontId="5" fillId="13" borderId="21" xfId="0" applyNumberFormat="1" applyFont="1" applyFill="1" applyBorder="1" applyAlignment="1">
      <alignment horizontal="center" vertical="center" wrapText="1"/>
    </xf>
    <xf numFmtId="0" fontId="2" fillId="15" borderId="17" xfId="0" applyFont="1" applyFill="1" applyBorder="1" applyAlignment="1">
      <alignment horizontal="center" vertical="center" wrapText="1"/>
    </xf>
    <xf numFmtId="0" fontId="5" fillId="8" borderId="17" xfId="0" applyFont="1" applyFill="1" applyBorder="1" applyAlignment="1">
      <alignment horizontal="left" vertical="center" wrapText="1"/>
    </xf>
    <xf numFmtId="0" fontId="10" fillId="15" borderId="13" xfId="0" applyFont="1" applyFill="1" applyBorder="1" applyAlignment="1">
      <alignment horizontal="center" vertical="center" wrapText="1"/>
    </xf>
    <xf numFmtId="0" fontId="10" fillId="15" borderId="14" xfId="0" applyFont="1" applyFill="1" applyBorder="1" applyAlignment="1">
      <alignment horizontal="center" vertical="center" wrapText="1"/>
    </xf>
    <xf numFmtId="0" fontId="10" fillId="15" borderId="15" xfId="0" applyFont="1" applyFill="1" applyBorder="1" applyAlignment="1">
      <alignment horizontal="center" vertical="center" wrapText="1"/>
    </xf>
    <xf numFmtId="14" fontId="5" fillId="13" borderId="17" xfId="0" applyNumberFormat="1" applyFont="1" applyFill="1" applyBorder="1" applyAlignment="1">
      <alignment horizontal="center" vertical="center" wrapText="1"/>
    </xf>
    <xf numFmtId="0" fontId="26" fillId="13" borderId="17" xfId="0" applyFont="1" applyFill="1" applyBorder="1" applyAlignment="1">
      <alignment horizontal="left" vertical="center" wrapText="1"/>
    </xf>
    <xf numFmtId="0" fontId="3" fillId="13" borderId="0" xfId="0" applyFont="1" applyFill="1" applyAlignment="1">
      <alignment horizontal="center" vertical="center" wrapText="1"/>
    </xf>
    <xf numFmtId="0" fontId="3" fillId="13" borderId="0" xfId="0" applyFont="1" applyFill="1" applyAlignment="1">
      <alignment horizontal="left" vertical="center" wrapText="1"/>
    </xf>
    <xf numFmtId="0" fontId="4" fillId="13" borderId="0" xfId="0" applyFont="1" applyFill="1" applyAlignment="1">
      <alignment horizontal="center" vertical="center" wrapText="1"/>
    </xf>
    <xf numFmtId="0" fontId="7" fillId="13" borderId="0" xfId="0" applyFont="1" applyFill="1" applyAlignment="1">
      <alignment horizontal="center" vertical="center" wrapText="1"/>
    </xf>
    <xf numFmtId="0" fontId="5" fillId="13" borderId="0" xfId="0" applyFont="1" applyFill="1" applyAlignment="1">
      <alignment horizontal="left" vertical="center" wrapText="1"/>
    </xf>
    <xf numFmtId="0" fontId="8" fillId="13" borderId="0" xfId="0" applyFont="1" applyFill="1" applyAlignment="1">
      <alignment horizontal="center" vertical="center" wrapText="1"/>
    </xf>
    <xf numFmtId="0" fontId="0" fillId="13" borderId="0" xfId="0" applyFill="1"/>
    <xf numFmtId="9" fontId="6" fillId="9" borderId="17" xfId="2" applyFont="1" applyFill="1" applyBorder="1" applyAlignment="1">
      <alignment horizontal="center" vertical="center" wrapText="1"/>
    </xf>
    <xf numFmtId="9" fontId="7" fillId="11" borderId="17" xfId="2" applyFont="1" applyFill="1" applyBorder="1" applyAlignment="1">
      <alignment horizontal="center" vertical="center" wrapText="1"/>
    </xf>
    <xf numFmtId="9" fontId="8" fillId="12" borderId="2" xfId="2" applyFont="1" applyFill="1" applyBorder="1" applyAlignment="1">
      <alignment horizontal="center" vertical="center" wrapText="1"/>
    </xf>
    <xf numFmtId="0" fontId="10" fillId="6" borderId="0" xfId="0" applyFont="1" applyFill="1" applyAlignment="1">
      <alignment horizontal="center" vertical="center"/>
    </xf>
    <xf numFmtId="0" fontId="10" fillId="4" borderId="0" xfId="0" applyFont="1" applyFill="1" applyAlignment="1">
      <alignment horizontal="center" vertical="center"/>
    </xf>
    <xf numFmtId="0" fontId="10" fillId="3" borderId="0" xfId="0" applyFont="1" applyFill="1" applyAlignment="1">
      <alignment horizontal="center" vertical="center"/>
    </xf>
    <xf numFmtId="0" fontId="10" fillId="14" borderId="0" xfId="0" applyFont="1" applyFill="1" applyAlignment="1">
      <alignment horizontal="center" vertical="center" wrapText="1"/>
    </xf>
    <xf numFmtId="0" fontId="10" fillId="7" borderId="0" xfId="0" applyFont="1" applyFill="1" applyAlignment="1">
      <alignment horizontal="center" vertical="center"/>
    </xf>
    <xf numFmtId="0" fontId="12" fillId="0" borderId="0" xfId="0" applyFont="1" applyAlignment="1">
      <alignment horizontal="center" vertical="center"/>
    </xf>
    <xf numFmtId="0" fontId="10" fillId="5" borderId="0" xfId="0" applyFont="1" applyFill="1" applyAlignment="1">
      <alignment horizontal="center" vertical="center"/>
    </xf>
    <xf numFmtId="0" fontId="10" fillId="16" borderId="0" xfId="0" applyFont="1" applyFill="1" applyAlignment="1">
      <alignment horizontal="center" vertical="center"/>
    </xf>
    <xf numFmtId="0" fontId="13" fillId="0" borderId="5" xfId="0" applyFont="1" applyBorder="1" applyAlignment="1">
      <alignment horizontal="left" vertical="top" wrapText="1"/>
    </xf>
    <xf numFmtId="0" fontId="13" fillId="0" borderId="6" xfId="0" applyFont="1" applyBorder="1" applyAlignment="1">
      <alignment horizontal="left" vertical="top"/>
    </xf>
    <xf numFmtId="0" fontId="13" fillId="0" borderId="7" xfId="0" applyFont="1" applyBorder="1" applyAlignment="1">
      <alignment horizontal="left" vertical="top"/>
    </xf>
    <xf numFmtId="0" fontId="13" fillId="0" borderId="8" xfId="0" applyFont="1" applyBorder="1" applyAlignment="1">
      <alignment horizontal="left" vertical="top"/>
    </xf>
    <xf numFmtId="0" fontId="13" fillId="0" borderId="0" xfId="0" applyFont="1" applyAlignment="1">
      <alignment horizontal="left" vertical="top"/>
    </xf>
    <xf numFmtId="0" fontId="13" fillId="0" borderId="9" xfId="0" applyFont="1" applyBorder="1" applyAlignment="1">
      <alignment horizontal="left" vertical="top"/>
    </xf>
    <xf numFmtId="0" fontId="13" fillId="0" borderId="10" xfId="0" applyFont="1" applyBorder="1" applyAlignment="1">
      <alignment horizontal="left" vertical="top"/>
    </xf>
    <xf numFmtId="0" fontId="13" fillId="0" borderId="11" xfId="0" applyFont="1" applyBorder="1" applyAlignment="1">
      <alignment horizontal="left" vertical="top"/>
    </xf>
    <xf numFmtId="0" fontId="13" fillId="0" borderId="12" xfId="0" applyFont="1" applyBorder="1" applyAlignment="1">
      <alignment horizontal="left" vertical="top"/>
    </xf>
    <xf numFmtId="0" fontId="1" fillId="14" borderId="0" xfId="0" applyFont="1" applyFill="1" applyAlignment="1">
      <alignment horizontal="center" vertical="center" wrapText="1"/>
    </xf>
    <xf numFmtId="0" fontId="10" fillId="15" borderId="0" xfId="0" applyFont="1" applyFill="1" applyAlignment="1">
      <alignment horizontal="center" vertical="center" wrapText="1"/>
    </xf>
    <xf numFmtId="0" fontId="10" fillId="2" borderId="0" xfId="0" applyFont="1" applyFill="1" applyAlignment="1">
      <alignment horizontal="center" vertical="center" wrapText="1"/>
    </xf>
    <xf numFmtId="0" fontId="12" fillId="14" borderId="0" xfId="0" applyFont="1" applyFill="1" applyAlignment="1"/>
    <xf numFmtId="0" fontId="12" fillId="16" borderId="0" xfId="0" applyFont="1" applyFill="1" applyAlignment="1"/>
    <xf numFmtId="0" fontId="12" fillId="0" borderId="0" xfId="0" applyFont="1" applyAlignment="1"/>
    <xf numFmtId="0" fontId="0" fillId="14" borderId="0" xfId="0" applyFill="1" applyAlignment="1"/>
    <xf numFmtId="0" fontId="0" fillId="15" borderId="0" xfId="0" applyFill="1" applyAlignment="1"/>
    <xf numFmtId="0" fontId="0" fillId="0" borderId="0" xfId="0" applyAlignment="1"/>
  </cellXfs>
  <cellStyles count="3">
    <cellStyle name="Hyperlink" xfId="1" builtinId="8"/>
    <cellStyle name="Normal" xfId="0" builtinId="0"/>
    <cellStyle name="Percent" xfId="2" builtinId="5"/>
  </cellStyles>
  <dxfs count="32">
    <dxf>
      <font>
        <b val="0"/>
        <i val="0"/>
        <strike val="0"/>
        <condense val="0"/>
        <extend val="0"/>
        <outline val="0"/>
        <shadow val="0"/>
        <u val="none"/>
        <vertAlign val="baseline"/>
        <sz val="10"/>
        <color theme="1"/>
        <name val="Arial"/>
        <family val="2"/>
        <scheme val="none"/>
      </font>
      <fill>
        <patternFill>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4" formatCode="dd/mm/yy;@"/>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Arial"/>
        <family val="2"/>
        <scheme val="none"/>
      </font>
      <fill>
        <patternFill>
          <fgColor indexed="64"/>
          <bgColor theme="0"/>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Arial"/>
        <family val="2"/>
        <scheme val="none"/>
      </font>
      <fill>
        <patternFill>
          <fgColor indexed="64"/>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rgb="FFC0392B"/>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Arial"/>
        <family val="2"/>
        <scheme val="none"/>
      </font>
      <fill>
        <patternFill>
          <fgColor indexed="64"/>
          <bgColor theme="0"/>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rgb="FFC0392B"/>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Arial"/>
        <family val="2"/>
        <scheme val="none"/>
      </font>
      <fill>
        <patternFill>
          <fgColor indexed="64"/>
          <bgColor theme="0"/>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vertAlign val="baseline"/>
        <name val="Arial"/>
        <family val="2"/>
        <scheme val="none"/>
      </font>
      <fill>
        <patternFill>
          <fgColor indexed="64"/>
          <bgColor theme="0"/>
        </patternFill>
      </fill>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strike val="0"/>
        <condense val="0"/>
        <extend val="0"/>
        <outline val="0"/>
        <shadow val="0"/>
        <u val="none"/>
        <vertAlign val="baseline"/>
        <sz val="10"/>
        <color rgb="FF4A5568"/>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rgb="FF1B2A4A"/>
        <name val="Arial"/>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rgb="FF1B2A4A"/>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right style="thin">
          <color rgb="FF000000"/>
        </right>
        <bottom style="thin">
          <color rgb="FF000000"/>
        </bottom>
      </border>
    </dxf>
    <dxf>
      <font>
        <outline val="0"/>
        <shadow val="0"/>
        <vertAlign val="baseline"/>
        <name val="Arial"/>
        <family val="2"/>
        <scheme val="none"/>
      </font>
      <fill>
        <patternFill>
          <fgColor indexed="64"/>
          <bgColor theme="0"/>
        </patternFill>
      </fill>
    </dxf>
    <dxf>
      <font>
        <outline val="0"/>
        <shadow val="0"/>
        <vertAlign val="baseline"/>
        <name val="Arial"/>
        <family val="2"/>
        <scheme val="none"/>
      </font>
      <fill>
        <patternFill>
          <fgColor indexed="64"/>
          <bgColor rgb="FF2E5FA3"/>
        </patternFill>
      </fill>
      <alignment horizontal="center" textRotation="0" indent="0" justifyLastLine="0" shrinkToFit="0" readingOrder="0"/>
    </dxf>
  </dxfs>
  <tableStyles count="0" defaultTableStyle="TableStyleMedium9" defaultPivotStyle="PivotStyleLight16"/>
  <colors>
    <mruColors>
      <color rgb="FF2E5FA3"/>
      <color rgb="FF1B2A4A"/>
      <color rgb="FF1B2AA3"/>
      <color rgb="FF1B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Alf Pendlebury" id="{7227EF82-EABB-419E-845E-841EA6217E20}" userId="S::alf.pendlebury@nxzen.com::2051125d-43ce-43b8-a15f-85b31e2e269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FA2EB9-89D7-429F-8B25-4AD1A4385E0A}" name="Table2" displayName="Table2" ref="B3:AD44" totalsRowShown="0" headerRowDxfId="31" dataDxfId="30" tableBorderDxfId="29">
  <autoFilter ref="B3:AD44" xr:uid="{3BFA2EB9-89D7-429F-8B25-4AD1A4385E0A}"/>
  <tableColumns count="29">
    <tableColumn id="1" xr3:uid="{E9D47E7B-4AED-4110-A2D0-1896F540EDFE}" name="#" dataDxfId="28"/>
    <tableColumn id="2" xr3:uid="{53E7E34D-783A-4F01-9841-CBAC5D51AB63}" name="Metric Name" dataDxfId="27"/>
    <tableColumn id="3" xr3:uid="{A4C8AA6C-6120-4A4C-9913-6055A56C705C}" name="Category" dataDxfId="26"/>
    <tableColumn id="4" xr3:uid="{6349BDFB-E85B-4879-B721-478A15326D36}" name="Sub-Category" dataDxfId="25"/>
    <tableColumn id="5" xr3:uid="{A139EBD8-2887-4C57-AD9A-390FE4F0A91F}" name="Description" dataDxfId="24"/>
    <tableColumn id="6" xr3:uid="{11C5EE33-EAD2-410B-94A5-6812E2387634}" name="Calculation / Formula" dataDxfId="23"/>
    <tableColumn id="7" xr3:uid="{8F7F6ABD-E642-45F5-B857-9DD5820EE847}" name="Data Source (Process)" dataDxfId="22"/>
    <tableColumn id="8" xr3:uid="{0735F7EC-4623-4105-8055-E8B1FF333A91}" name="Source System / Tool" dataDxfId="21"/>
    <tableColumn id="9" xr3:uid="{8E18779D-AE1D-4B2B-AF7D-88729C42D949}" name="Data Owner" dataDxfId="20"/>
    <tableColumn id="10" xr3:uid="{435CF1C7-0914-42FA-AF3E-F80856556D92}" name="Update Frequency" dataDxfId="19"/>
    <tableColumn id="11" xr3:uid="{1FBA2A25-EDDA-4B2A-9D0C-F2FF5C4E21E8}" name="Unit / Format" dataDxfId="18"/>
    <tableColumn id="12" xr3:uid="{F5091943-583A-4B28-944C-7E2BDD35039F}" name="Reporting Period" dataDxfId="17"/>
    <tableColumn id="13" xr3:uid="{B99E0D5B-A0D0-4860-99AF-31420119C370}" name="Current Capability_x000a_(Y / N)" dataDxfId="16"/>
    <tableColumn id="14" xr3:uid="{0CE1E161-3940-482C-9349-0F76FD5C1846}" name="If YES —_x000a_Current Process" dataDxfId="15"/>
    <tableColumn id="15" xr3:uid="{8435FDAD-BFBA-439E-B2A9-6E11501D35AB}" name="If YES —_x000a_Data Source(s)" dataDxfId="14"/>
    <tableColumn id="16" xr3:uid="{C743B624-A011-451D-A2F9-0D7F8D17E9E2}" name="If NO —_x000a_Gap Description" dataDxfId="13"/>
    <tableColumn id="17" xr3:uid="{1CF7A484-4F79-4E17-A1B8-291E808F926A}" name="If NO —_x000a_Process to Implement" dataDxfId="12"/>
    <tableColumn id="18" xr3:uid="{FAA865A1-65EA-4E61-A4F5-E4079F0C02DF}" name="Priority to_x000a_Implement" dataDxfId="11"/>
    <tableColumn id="19" xr3:uid="{7B6035C6-DF7B-485A-AEB6-A532E77EDBB7}" name="Target Date" dataDxfId="10"/>
    <tableColumn id="20" xr3:uid="{89D20B10-2ED5-4698-B9F3-E7C3A1A8B0C8}" name="Dashboard_x000a_Section" dataDxfId="9"/>
    <tableColumn id="21" xr3:uid="{632E4A18-FECB-41B6-9107-F75661BA2034}" name="KPI / Measure Owner" dataDxfId="8"/>
    <tableColumn id="22" xr3:uid="{CE33AD18-C3F5-4C4A-BD4C-B2A91039844A}" name="Notes / Assumptions" dataDxfId="7"/>
    <tableColumn id="23" xr3:uid="{3CA5B38A-AA14-4E35-ACCE-E4CAD74D8762}" name="RAG Green_x000a_Threshold" dataDxfId="6"/>
    <tableColumn id="24" xr3:uid="{8BA45C86-FA4E-4445-9EF9-33F8166CAAF9}" name="RAG Amber_x000a_Threshold" dataDxfId="5"/>
    <tableColumn id="25" xr3:uid="{ED3DB7BE-E674-40F6-80F0-CB3AE8E91EC5}" name="RAG Red_x000a_Threshold" dataDxfId="4"/>
    <tableColumn id="26" xr3:uid="{F31D0037-0A7A-4E59-9E51-13DE160A4430}" name="Benchmark /_x000a_Target" dataDxfId="3"/>
    <tableColumn id="27" xr3:uid="{138E6181-2AF2-48D0-99C1-0F5BEFA446B7}" name="Validated By" dataDxfId="2"/>
    <tableColumn id="28" xr3:uid="{DEFF8C8D-8E07-434A-A367-FB5DAC428B5F}" name="Date" dataDxfId="1"/>
    <tableColumn id="29" xr3:uid="{CE270E28-A7B8-4732-9C62-B0EC18576C29}" name="Comments / Q'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C36" dT="2026-05-01T08:24:11.78" personId="{7227EF82-EABB-419E-845E-841EA6217E20}" id="{5DAC6EE3-CB0F-4E9C-A418-D3D79A79D161}">
    <text>Via email</text>
  </threadedComment>
  <threadedComment ref="AC37" dT="2026-05-01T08:24:11.78" personId="{7227EF82-EABB-419E-845E-841EA6217E20}" id="{EC6111B6-EB17-4388-A15E-FC20C27A9C72}">
    <text>Via email</text>
  </threadedComment>
  <threadedComment ref="AC38" dT="2026-05-01T08:24:11.78" personId="{7227EF82-EABB-419E-845E-841EA6217E20}" id="{3C076306-5730-4576-92B3-36475FA71B87}">
    <text>Via email</text>
  </threadedComment>
  <threadedComment ref="AC39" dT="2026-05-01T08:24:11.78" personId="{7227EF82-EABB-419E-845E-841EA6217E20}" id="{E8A40E42-7C05-47FA-B20C-3F91DC816C09}">
    <text>Via email</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app.powerbi.com/groups/0da2f5c4-b497-4f71-92ee-dfdf5a94f096/reports/cbebc21b-02fc-44ac-813e-c8a9ccbbb1af/26cb0716947f5916b0ad?ctid=10ed0bc9-31bd-4351-9ba9-1a0a46700bee&amp;experience=power-bi" TargetMode="External"/><Relationship Id="rId13" Type="http://schemas.openxmlformats.org/officeDocument/2006/relationships/hyperlink" Target="https://app.powerbi.com/groups/0da2f5c4-b497-4f71-92ee-dfdf5a94f096/reports/cbebc21b-02fc-44ac-813e-c8a9ccbbb1af/26cb0716947f5916b0ad?ctid=10ed0bc9-31bd-4351-9ba9-1a0a46700bee&amp;experience=power-bi" TargetMode="External"/><Relationship Id="rId18" Type="http://schemas.openxmlformats.org/officeDocument/2006/relationships/comments" Target="../comments1.xml"/><Relationship Id="rId3" Type="http://schemas.openxmlformats.org/officeDocument/2006/relationships/hyperlink" Target="../../../../../../../:f:/s/Clients/IgB48cQZMqcJT6QL_shZFbkVATp2vK8_N6SjQ5AB7cr2k0o?e=0dZoNK" TargetMode="External"/><Relationship Id="rId7" Type="http://schemas.openxmlformats.org/officeDocument/2006/relationships/hyperlink" Target="https://app.powerbi.com/groups/0da2f5c4-b497-4f71-92ee-dfdf5a94f096/reports/cbebc21b-02fc-44ac-813e-c8a9ccbbb1af/26cb0716947f5916b0ad?ctid=10ed0bc9-31bd-4351-9ba9-1a0a46700bee&amp;experience=power-bi" TargetMode="External"/><Relationship Id="rId12" Type="http://schemas.openxmlformats.org/officeDocument/2006/relationships/hyperlink" Target="https://app.powerbi.com/groups/0da2f5c4-b497-4f71-92ee-dfdf5a94f096/reports/cbebc21b-02fc-44ac-813e-c8a9ccbbb1af/26cb0716947f5916b0ad?ctid=10ed0bc9-31bd-4351-9ba9-1a0a46700bee&amp;experience=power-bi" TargetMode="External"/><Relationship Id="rId17" Type="http://schemas.openxmlformats.org/officeDocument/2006/relationships/table" Target="../tables/table1.xml"/><Relationship Id="rId2" Type="http://schemas.openxmlformats.org/officeDocument/2006/relationships/hyperlink" Target="../../../../../../../:f:/s/Clients/IgB48cQZMqcJT6QL_shZFbkVATp2vK8_N6SjQ5AB7cr2k0o?e=0dZoNK" TargetMode="External"/><Relationship Id="rId16" Type="http://schemas.openxmlformats.org/officeDocument/2006/relationships/vmlDrawing" Target="../drawings/vmlDrawing1.vml"/><Relationship Id="rId1" Type="http://schemas.openxmlformats.org/officeDocument/2006/relationships/hyperlink" Target="../../../../../../../:f:/s/Clients/IgB48cQZMqcJT6QL_shZFbkVATp2vK8_N6SjQ5AB7cr2k0o?e=0dZoNK" TargetMode="External"/><Relationship Id="rId6" Type="http://schemas.openxmlformats.org/officeDocument/2006/relationships/hyperlink" Target="https://app.powerbi.com/groups/0da2f5c4-b497-4f71-92ee-dfdf5a94f096/reports/cbebc21b-02fc-44ac-813e-c8a9ccbbb1af/26cb0716947f5916b0ad?ctid=10ed0bc9-31bd-4351-9ba9-1a0a46700bee&amp;experience=power-bi" TargetMode="External"/><Relationship Id="rId11" Type="http://schemas.openxmlformats.org/officeDocument/2006/relationships/hyperlink" Target="https://enzen365.sharepoint.com/:x:/s/Clients/IQBnim2hbdwbSbQGnogtQ7HpAak0D37-8-3zFJGa2XmUNyQ?e=rZVlSp" TargetMode="External"/><Relationship Id="rId5" Type="http://schemas.openxmlformats.org/officeDocument/2006/relationships/hyperlink" Target="../../../../../../../:f:/s/Clients/IgB48cQZMqcJT6QL_shZFbkVATp2vK8_N6SjQ5AB7cr2k0o?e=0dZoNK" TargetMode="External"/><Relationship Id="rId15" Type="http://schemas.openxmlformats.org/officeDocument/2006/relationships/printerSettings" Target="../printerSettings/printerSettings1.bin"/><Relationship Id="rId10" Type="http://schemas.openxmlformats.org/officeDocument/2006/relationships/hyperlink" Target="../../../../../../../:f:/s/Clients/IgB48cQZMqcJT6QL_shZFbkVATp2vK8_N6SjQ5AB7cr2k0o?e=0dZoNK" TargetMode="External"/><Relationship Id="rId19" Type="http://schemas.microsoft.com/office/2017/10/relationships/threadedComment" Target="../threadedComments/threadedComment1.xml"/><Relationship Id="rId4" Type="http://schemas.openxmlformats.org/officeDocument/2006/relationships/hyperlink" Target="../../../../../../../:f:/s/Clients/IgB48cQZMqcJT6QL_shZFbkVATp2vK8_N6SjQ5AB7cr2k0o?e=0dZoNK" TargetMode="External"/><Relationship Id="rId9" Type="http://schemas.openxmlformats.org/officeDocument/2006/relationships/hyperlink" Target="../../../../../../../:f:/s/Clients/IgB48cQZMqcJT6QL_shZFbkVATp2vK8_N6SjQ5AB7cr2k0o?e=0dZoNK" TargetMode="External"/><Relationship Id="rId14" Type="http://schemas.openxmlformats.org/officeDocument/2006/relationships/hyperlink" Target="https://app.powerbi.com/groups/0da2f5c4-b497-4f71-92ee-dfdf5a94f096/reports/cbebc21b-02fc-44ac-813e-c8a9ccbbb1af/26cb0716947f5916b0ad?ctid=10ed0bc9-31bd-4351-9ba9-1a0a46700bee&amp;experience=power-bi"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enzen365.sharepoint.com/:x:/s/Clients/IQCmBYHfy8sCSLFKcfOJfMnMASkYHsRuJaPqIq33wNKwKbs?e=nM0gv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BF698-C643-4CBD-A66F-3EF802D6BEBB}">
  <dimension ref="A1:E37"/>
  <sheetViews>
    <sheetView workbookViewId="0">
      <selection activeCell="E11" sqref="E11"/>
    </sheetView>
  </sheetViews>
  <sheetFormatPr defaultColWidth="8.7109375" defaultRowHeight="13.9"/>
  <cols>
    <col min="1" max="1" width="14.42578125" style="12" customWidth="1"/>
    <col min="2" max="2" width="13.7109375" style="12" customWidth="1"/>
    <col min="3" max="3" width="15.5703125" style="12" bestFit="1" customWidth="1"/>
    <col min="4" max="4" width="20.7109375" style="12" bestFit="1" customWidth="1"/>
    <col min="5" max="5" width="86.28515625" style="12" bestFit="1" customWidth="1"/>
    <col min="6" max="16384" width="8.7109375" style="12"/>
  </cols>
  <sheetData>
    <row r="1" spans="1:5" ht="17.45">
      <c r="A1" s="26" t="s">
        <v>0</v>
      </c>
      <c r="B1" s="26" t="s">
        <v>1</v>
      </c>
      <c r="C1" s="26" t="s">
        <v>2</v>
      </c>
      <c r="D1" s="26" t="s">
        <v>3</v>
      </c>
      <c r="E1" s="26" t="s">
        <v>4</v>
      </c>
    </row>
    <row r="2" spans="1:5" s="30" customFormat="1" ht="30">
      <c r="A2" s="27" t="s">
        <v>5</v>
      </c>
      <c r="B2" s="27" t="s">
        <v>6</v>
      </c>
      <c r="C2" s="28">
        <v>46127</v>
      </c>
      <c r="D2" s="27" t="s">
        <v>7</v>
      </c>
      <c r="E2" s="29" t="s">
        <v>8</v>
      </c>
    </row>
    <row r="3" spans="1:5" ht="45">
      <c r="A3" s="27" t="s">
        <v>9</v>
      </c>
      <c r="B3" s="27" t="s">
        <v>6</v>
      </c>
      <c r="C3" s="28">
        <v>46139</v>
      </c>
      <c r="D3" s="27" t="s">
        <v>10</v>
      </c>
      <c r="E3" s="29" t="s">
        <v>11</v>
      </c>
    </row>
    <row r="4" spans="1:5" ht="30">
      <c r="A4" s="27" t="s">
        <v>12</v>
      </c>
      <c r="B4" s="27" t="s">
        <v>6</v>
      </c>
      <c r="C4" s="28">
        <v>46139</v>
      </c>
      <c r="D4" s="27" t="s">
        <v>10</v>
      </c>
      <c r="E4" s="29" t="s">
        <v>13</v>
      </c>
    </row>
    <row r="5" spans="1:5" ht="75">
      <c r="A5" s="27" t="s">
        <v>14</v>
      </c>
      <c r="B5" s="27" t="s">
        <v>15</v>
      </c>
      <c r="C5" s="28">
        <v>46148</v>
      </c>
      <c r="D5" s="27" t="s">
        <v>10</v>
      </c>
      <c r="E5" s="29" t="s">
        <v>16</v>
      </c>
    </row>
    <row r="6" spans="1:5">
      <c r="A6" s="15"/>
      <c r="B6" s="15"/>
      <c r="C6" s="15"/>
      <c r="D6" s="15"/>
    </row>
    <row r="7" spans="1:5" ht="14.45" thickBot="1">
      <c r="A7" s="31" t="s">
        <v>17</v>
      </c>
      <c r="B7" s="32"/>
      <c r="C7" s="15"/>
      <c r="D7" s="15"/>
    </row>
    <row r="8" spans="1:5">
      <c r="A8" s="84" t="s">
        <v>18</v>
      </c>
      <c r="B8" s="85"/>
      <c r="C8" s="85"/>
      <c r="D8" s="86"/>
    </row>
    <row r="9" spans="1:5">
      <c r="A9" s="87"/>
      <c r="B9" s="88"/>
      <c r="C9" s="88"/>
      <c r="D9" s="89"/>
    </row>
    <row r="10" spans="1:5">
      <c r="A10" s="87"/>
      <c r="B10" s="88"/>
      <c r="C10" s="88"/>
      <c r="D10" s="89"/>
    </row>
    <row r="11" spans="1:5">
      <c r="A11" s="87"/>
      <c r="B11" s="88"/>
      <c r="C11" s="88"/>
      <c r="D11" s="89"/>
    </row>
    <row r="12" spans="1:5">
      <c r="A12" s="87"/>
      <c r="B12" s="88"/>
      <c r="C12" s="88"/>
      <c r="D12" s="89"/>
    </row>
    <row r="13" spans="1:5">
      <c r="A13" s="87"/>
      <c r="B13" s="88"/>
      <c r="C13" s="88"/>
      <c r="D13" s="89"/>
    </row>
    <row r="14" spans="1:5">
      <c r="A14" s="87"/>
      <c r="B14" s="88"/>
      <c r="C14" s="88"/>
      <c r="D14" s="89"/>
    </row>
    <row r="15" spans="1:5">
      <c r="A15" s="87"/>
      <c r="B15" s="88"/>
      <c r="C15" s="88"/>
      <c r="D15" s="89"/>
    </row>
    <row r="16" spans="1:5">
      <c r="A16" s="87"/>
      <c r="B16" s="88"/>
      <c r="C16" s="88"/>
      <c r="D16" s="89"/>
    </row>
    <row r="17" spans="1:4" ht="14.45" thickBot="1">
      <c r="A17" s="90"/>
      <c r="B17" s="91"/>
      <c r="C17" s="91"/>
      <c r="D17" s="92"/>
    </row>
    <row r="18" spans="1:4">
      <c r="A18" s="15"/>
      <c r="B18" s="15"/>
      <c r="C18" s="15"/>
      <c r="D18" s="15"/>
    </row>
    <row r="19" spans="1:4">
      <c r="A19" s="15"/>
      <c r="B19" s="15"/>
      <c r="C19" s="15"/>
      <c r="D19" s="15"/>
    </row>
    <row r="20" spans="1:4">
      <c r="A20" s="15"/>
      <c r="B20" s="15"/>
      <c r="C20" s="15"/>
      <c r="D20" s="15"/>
    </row>
    <row r="21" spans="1:4">
      <c r="A21" s="15"/>
      <c r="B21" s="15"/>
      <c r="C21" s="15"/>
      <c r="D21" s="15"/>
    </row>
    <row r="22" spans="1:4">
      <c r="A22" s="15"/>
      <c r="B22" s="15"/>
      <c r="C22" s="15"/>
      <c r="D22" s="15"/>
    </row>
    <row r="23" spans="1:4">
      <c r="A23" s="15"/>
      <c r="B23" s="15"/>
      <c r="C23" s="15"/>
      <c r="D23" s="15"/>
    </row>
    <row r="24" spans="1:4">
      <c r="A24" s="15"/>
      <c r="B24" s="15"/>
      <c r="C24" s="15"/>
      <c r="D24" s="15"/>
    </row>
    <row r="25" spans="1:4">
      <c r="A25" s="15"/>
      <c r="B25" s="15"/>
      <c r="C25" s="15"/>
      <c r="D25" s="15"/>
    </row>
    <row r="26" spans="1:4">
      <c r="A26" s="15"/>
      <c r="B26" s="15"/>
      <c r="C26" s="15"/>
      <c r="D26" s="15"/>
    </row>
    <row r="27" spans="1:4">
      <c r="A27" s="15"/>
      <c r="B27" s="15"/>
      <c r="C27" s="15"/>
      <c r="D27" s="15"/>
    </row>
    <row r="28" spans="1:4">
      <c r="A28" s="15"/>
      <c r="B28" s="15"/>
      <c r="C28" s="15"/>
      <c r="D28" s="15"/>
    </row>
    <row r="29" spans="1:4">
      <c r="A29" s="15"/>
      <c r="B29" s="15"/>
      <c r="C29" s="15"/>
      <c r="D29" s="15"/>
    </row>
    <row r="30" spans="1:4">
      <c r="A30" s="15"/>
      <c r="B30" s="15"/>
      <c r="C30" s="15"/>
      <c r="D30" s="15"/>
    </row>
    <row r="31" spans="1:4">
      <c r="A31" s="15"/>
      <c r="B31" s="15"/>
      <c r="C31" s="15"/>
      <c r="D31" s="15"/>
    </row>
    <row r="32" spans="1:4">
      <c r="A32" s="15"/>
      <c r="B32" s="15"/>
      <c r="C32" s="15"/>
      <c r="D32" s="15"/>
    </row>
    <row r="33" spans="1:4">
      <c r="A33" s="15"/>
      <c r="B33" s="15"/>
      <c r="C33" s="15"/>
      <c r="D33" s="15"/>
    </row>
    <row r="34" spans="1:4">
      <c r="A34" s="15"/>
      <c r="B34" s="15"/>
      <c r="C34" s="15"/>
      <c r="D34" s="15"/>
    </row>
    <row r="35" spans="1:4">
      <c r="A35" s="15"/>
      <c r="B35" s="15"/>
      <c r="C35" s="15"/>
      <c r="D35" s="15"/>
    </row>
    <row r="36" spans="1:4">
      <c r="A36" s="15"/>
      <c r="B36" s="15"/>
      <c r="C36" s="15"/>
      <c r="D36" s="15"/>
    </row>
    <row r="37" spans="1:4">
      <c r="A37" s="15"/>
      <c r="B37" s="15"/>
      <c r="C37" s="15"/>
      <c r="D37" s="15"/>
    </row>
  </sheetData>
  <mergeCells count="1">
    <mergeCell ref="A8:D17"/>
  </mergeCells>
  <phoneticPr fontId="2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44"/>
  <sheetViews>
    <sheetView showGridLines="0" tabSelected="1" topLeftCell="R1" zoomScale="70" zoomScaleNormal="70" workbookViewId="0">
      <pane ySplit="3" topLeftCell="A4" activePane="bottomLeft" state="frozen"/>
      <selection pane="bottomLeft" activeCell="X44" sqref="X44"/>
    </sheetView>
  </sheetViews>
  <sheetFormatPr defaultColWidth="8.7109375" defaultRowHeight="13.9"/>
  <cols>
    <col min="1" max="1" width="20.28515625" style="12" customWidth="1"/>
    <col min="2" max="2" width="9.7109375" style="12" customWidth="1"/>
    <col min="3" max="3" width="22" style="12" customWidth="1"/>
    <col min="4" max="4" width="14" style="12" customWidth="1"/>
    <col min="5" max="5" width="14" style="15" customWidth="1"/>
    <col min="6" max="6" width="36" style="16" customWidth="1"/>
    <col min="7" max="7" width="32" style="16" customWidth="1"/>
    <col min="8" max="8" width="24" style="16" customWidth="1"/>
    <col min="9" max="9" width="19.28515625" style="16" customWidth="1"/>
    <col min="10" max="10" width="14" style="17" customWidth="1"/>
    <col min="11" max="11" width="17.28515625" style="17" customWidth="1"/>
    <col min="12" max="12" width="13.28515625" style="17" customWidth="1"/>
    <col min="13" max="13" width="16" style="17" customWidth="1"/>
    <col min="14" max="14" width="10" style="17" customWidth="1"/>
    <col min="15" max="15" width="30" style="16" customWidth="1"/>
    <col min="16" max="16" width="28" style="16" customWidth="1"/>
    <col min="17" max="18" width="32" style="16" customWidth="1"/>
    <col min="19" max="19" width="18" style="17" customWidth="1"/>
    <col min="20" max="21" width="14" style="17" customWidth="1"/>
    <col min="22" max="22" width="19.28515625" style="17" customWidth="1"/>
    <col min="23" max="23" width="28" style="16" customWidth="1"/>
    <col min="24" max="27" width="12" style="17" customWidth="1"/>
    <col min="28" max="28" width="12.5703125" style="17" customWidth="1"/>
    <col min="29" max="29" width="10.28515625" style="17" customWidth="1"/>
    <col min="30" max="30" width="85.42578125" style="18" customWidth="1"/>
    <col min="31" max="16384" width="8.7109375" style="12"/>
  </cols>
  <sheetData>
    <row r="1" spans="1:30" ht="14.1" customHeight="1">
      <c r="B1" s="79" t="s">
        <v>19</v>
      </c>
      <c r="C1" s="96"/>
      <c r="D1" s="96"/>
      <c r="E1" s="96"/>
      <c r="F1" s="96"/>
      <c r="G1" s="96"/>
      <c r="H1" s="96"/>
      <c r="I1" s="96"/>
      <c r="J1" s="96"/>
      <c r="K1" s="96"/>
      <c r="L1" s="96"/>
      <c r="M1" s="96"/>
      <c r="N1" s="96"/>
      <c r="O1" s="96"/>
      <c r="P1" s="96"/>
      <c r="Q1" s="96"/>
      <c r="R1" s="96"/>
      <c r="S1" s="96"/>
      <c r="T1" s="96"/>
      <c r="U1" s="96"/>
      <c r="V1" s="96"/>
      <c r="W1" s="96"/>
      <c r="X1" s="96"/>
      <c r="Y1" s="96"/>
      <c r="Z1" s="96"/>
      <c r="AA1" s="96"/>
      <c r="AB1" s="10"/>
      <c r="AC1" s="10"/>
      <c r="AD1" s="11"/>
    </row>
    <row r="2" spans="1:30" ht="36" customHeight="1" thickBot="1">
      <c r="B2" s="83" t="s">
        <v>20</v>
      </c>
      <c r="C2" s="97"/>
      <c r="D2" s="97"/>
      <c r="E2" s="97"/>
      <c r="F2" s="78" t="s">
        <v>21</v>
      </c>
      <c r="G2" s="98"/>
      <c r="H2" s="98"/>
      <c r="I2" s="77" t="s">
        <v>22</v>
      </c>
      <c r="J2" s="98"/>
      <c r="K2" s="98"/>
      <c r="L2" s="98"/>
      <c r="M2" s="98"/>
      <c r="N2" s="82" t="s">
        <v>23</v>
      </c>
      <c r="O2" s="98"/>
      <c r="P2" s="98"/>
      <c r="Q2" s="98"/>
      <c r="R2" s="98"/>
      <c r="S2" s="98"/>
      <c r="T2" s="98"/>
      <c r="U2" s="76" t="s">
        <v>24</v>
      </c>
      <c r="V2" s="98"/>
      <c r="W2" s="98"/>
      <c r="X2" s="80" t="s">
        <v>25</v>
      </c>
      <c r="Y2" s="81"/>
      <c r="Z2" s="81"/>
      <c r="AA2" s="81"/>
      <c r="AB2" s="10"/>
      <c r="AC2" s="10"/>
      <c r="AD2" s="11"/>
    </row>
    <row r="3" spans="1:30" s="15" customFormat="1" ht="30" customHeight="1" thickBot="1">
      <c r="A3" s="13" t="s">
        <v>26</v>
      </c>
      <c r="B3" s="61" t="s">
        <v>27</v>
      </c>
      <c r="C3" s="13" t="s">
        <v>28</v>
      </c>
      <c r="D3" s="61" t="s">
        <v>29</v>
      </c>
      <c r="E3" s="61" t="s">
        <v>30</v>
      </c>
      <c r="F3" s="61" t="s">
        <v>31</v>
      </c>
      <c r="G3" s="61" t="s">
        <v>32</v>
      </c>
      <c r="H3" s="13" t="s">
        <v>33</v>
      </c>
      <c r="I3" s="13" t="s">
        <v>34</v>
      </c>
      <c r="J3" s="13" t="s">
        <v>35</v>
      </c>
      <c r="K3" s="13" t="s">
        <v>36</v>
      </c>
      <c r="L3" s="13" t="s">
        <v>37</v>
      </c>
      <c r="M3" s="13" t="s">
        <v>38</v>
      </c>
      <c r="N3" s="61" t="s">
        <v>39</v>
      </c>
      <c r="O3" s="61" t="s">
        <v>40</v>
      </c>
      <c r="P3" s="61" t="s">
        <v>41</v>
      </c>
      <c r="Q3" s="61" t="s">
        <v>42</v>
      </c>
      <c r="R3" s="61" t="s">
        <v>43</v>
      </c>
      <c r="S3" s="61" t="s">
        <v>44</v>
      </c>
      <c r="T3" s="61" t="s">
        <v>45</v>
      </c>
      <c r="U3" s="61" t="s">
        <v>46</v>
      </c>
      <c r="V3" s="61" t="s">
        <v>47</v>
      </c>
      <c r="W3" s="61" t="s">
        <v>48</v>
      </c>
      <c r="X3" s="61" t="s">
        <v>49</v>
      </c>
      <c r="Y3" s="61" t="s">
        <v>50</v>
      </c>
      <c r="Z3" s="61" t="s">
        <v>51</v>
      </c>
      <c r="AA3" s="62" t="s">
        <v>52</v>
      </c>
      <c r="AB3" s="63" t="s">
        <v>53</v>
      </c>
      <c r="AC3" s="63" t="s">
        <v>2</v>
      </c>
      <c r="AD3" s="14" t="s">
        <v>54</v>
      </c>
    </row>
    <row r="4" spans="1:30" ht="60" customHeight="1">
      <c r="A4" s="34" t="s">
        <v>55</v>
      </c>
      <c r="B4" s="43" t="s">
        <v>56</v>
      </c>
      <c r="C4" s="36" t="s">
        <v>57</v>
      </c>
      <c r="D4" s="37" t="s">
        <v>58</v>
      </c>
      <c r="E4" s="38" t="s">
        <v>59</v>
      </c>
      <c r="F4" s="39" t="s">
        <v>60</v>
      </c>
      <c r="G4" s="39" t="s">
        <v>61</v>
      </c>
      <c r="H4" s="39" t="s">
        <v>62</v>
      </c>
      <c r="I4" s="39" t="s">
        <v>63</v>
      </c>
      <c r="J4" s="38" t="s">
        <v>64</v>
      </c>
      <c r="K4" s="38" t="s">
        <v>65</v>
      </c>
      <c r="L4" s="38" t="s">
        <v>66</v>
      </c>
      <c r="M4" s="38" t="s">
        <v>67</v>
      </c>
      <c r="N4" s="19" t="s">
        <v>68</v>
      </c>
      <c r="O4" s="20" t="s">
        <v>69</v>
      </c>
      <c r="P4" s="39" t="s">
        <v>70</v>
      </c>
      <c r="Q4" s="20" t="s">
        <v>71</v>
      </c>
      <c r="R4" s="20" t="s">
        <v>72</v>
      </c>
      <c r="S4" s="23" t="s">
        <v>73</v>
      </c>
      <c r="T4" s="38"/>
      <c r="U4" s="38" t="s">
        <v>58</v>
      </c>
      <c r="V4" s="38" t="s">
        <v>74</v>
      </c>
      <c r="W4" s="20" t="s">
        <v>75</v>
      </c>
      <c r="X4" s="38" t="s">
        <v>76</v>
      </c>
      <c r="Y4" s="38" t="s">
        <v>76</v>
      </c>
      <c r="Z4" s="38" t="s">
        <v>76</v>
      </c>
      <c r="AA4" s="38" t="s">
        <v>76</v>
      </c>
      <c r="AB4" s="38" t="s">
        <v>74</v>
      </c>
      <c r="AC4" s="41">
        <v>46143</v>
      </c>
      <c r="AD4" s="39"/>
    </row>
    <row r="5" spans="1:30" ht="60" customHeight="1">
      <c r="A5" s="35" t="s">
        <v>55</v>
      </c>
      <c r="B5" s="43" t="s">
        <v>77</v>
      </c>
      <c r="C5" s="36" t="s">
        <v>78</v>
      </c>
      <c r="D5" s="37" t="s">
        <v>58</v>
      </c>
      <c r="E5" s="38" t="s">
        <v>59</v>
      </c>
      <c r="F5" s="39" t="s">
        <v>79</v>
      </c>
      <c r="G5" s="39" t="s">
        <v>80</v>
      </c>
      <c r="H5" s="39" t="s">
        <v>62</v>
      </c>
      <c r="I5" s="39" t="s">
        <v>63</v>
      </c>
      <c r="J5" s="38" t="s">
        <v>64</v>
      </c>
      <c r="K5" s="38" t="s">
        <v>65</v>
      </c>
      <c r="L5" s="38" t="s">
        <v>66</v>
      </c>
      <c r="M5" s="38" t="s">
        <v>67</v>
      </c>
      <c r="N5" s="19" t="s">
        <v>68</v>
      </c>
      <c r="O5" s="65" t="s">
        <v>69</v>
      </c>
      <c r="P5" s="20" t="s">
        <v>81</v>
      </c>
      <c r="Q5" s="39" t="s">
        <v>82</v>
      </c>
      <c r="R5" s="39" t="s">
        <v>83</v>
      </c>
      <c r="S5" s="23" t="s">
        <v>73</v>
      </c>
      <c r="T5" s="38"/>
      <c r="U5" s="38" t="s">
        <v>58</v>
      </c>
      <c r="V5" s="38" t="s">
        <v>74</v>
      </c>
      <c r="W5" s="39" t="s">
        <v>84</v>
      </c>
      <c r="X5" s="38" t="s">
        <v>76</v>
      </c>
      <c r="Y5" s="38" t="s">
        <v>76</v>
      </c>
      <c r="Z5" s="38" t="s">
        <v>76</v>
      </c>
      <c r="AA5" s="38" t="s">
        <v>76</v>
      </c>
      <c r="AB5" s="21" t="s">
        <v>74</v>
      </c>
      <c r="AC5" s="41">
        <v>46143</v>
      </c>
      <c r="AD5" s="20"/>
    </row>
    <row r="6" spans="1:30" ht="76.5" customHeight="1">
      <c r="A6" s="35" t="s">
        <v>55</v>
      </c>
      <c r="B6" s="43" t="s">
        <v>85</v>
      </c>
      <c r="C6" s="36" t="s">
        <v>86</v>
      </c>
      <c r="D6" s="37" t="s">
        <v>58</v>
      </c>
      <c r="E6" s="38" t="s">
        <v>59</v>
      </c>
      <c r="F6" s="39" t="s">
        <v>87</v>
      </c>
      <c r="G6" s="39" t="s">
        <v>88</v>
      </c>
      <c r="H6" s="39" t="s">
        <v>89</v>
      </c>
      <c r="I6" s="22" t="s">
        <v>90</v>
      </c>
      <c r="J6" s="38" t="s">
        <v>91</v>
      </c>
      <c r="K6" s="38" t="s">
        <v>65</v>
      </c>
      <c r="L6" s="38" t="s">
        <v>92</v>
      </c>
      <c r="M6" s="38" t="s">
        <v>93</v>
      </c>
      <c r="N6" s="19" t="s">
        <v>68</v>
      </c>
      <c r="O6" s="39" t="s">
        <v>94</v>
      </c>
      <c r="P6" s="39" t="s">
        <v>95</v>
      </c>
      <c r="Q6" s="39" t="s">
        <v>96</v>
      </c>
      <c r="R6" s="20" t="s">
        <v>97</v>
      </c>
      <c r="S6" s="23" t="s">
        <v>73</v>
      </c>
      <c r="T6" s="38"/>
      <c r="U6" s="38" t="s">
        <v>58</v>
      </c>
      <c r="V6" s="38" t="s">
        <v>74</v>
      </c>
      <c r="W6" s="20" t="s">
        <v>98</v>
      </c>
      <c r="X6" s="21" t="s">
        <v>99</v>
      </c>
      <c r="Y6" s="21" t="s">
        <v>100</v>
      </c>
      <c r="Z6" s="21" t="s">
        <v>101</v>
      </c>
      <c r="AA6" s="38" t="s">
        <v>102</v>
      </c>
      <c r="AB6" s="21" t="s">
        <v>74</v>
      </c>
      <c r="AC6" s="41">
        <v>46143</v>
      </c>
      <c r="AD6" s="20"/>
    </row>
    <row r="7" spans="1:30" ht="60" customHeight="1">
      <c r="A7" s="35" t="s">
        <v>55</v>
      </c>
      <c r="B7" s="43" t="s">
        <v>103</v>
      </c>
      <c r="C7" s="36" t="s">
        <v>104</v>
      </c>
      <c r="D7" s="37" t="s">
        <v>58</v>
      </c>
      <c r="E7" s="38" t="s">
        <v>59</v>
      </c>
      <c r="F7" s="39" t="s">
        <v>105</v>
      </c>
      <c r="G7" s="39" t="s">
        <v>106</v>
      </c>
      <c r="H7" s="39" t="s">
        <v>89</v>
      </c>
      <c r="I7" s="22" t="s">
        <v>90</v>
      </c>
      <c r="J7" s="38" t="s">
        <v>91</v>
      </c>
      <c r="K7" s="38" t="s">
        <v>65</v>
      </c>
      <c r="L7" s="38" t="s">
        <v>92</v>
      </c>
      <c r="M7" s="38" t="s">
        <v>93</v>
      </c>
      <c r="N7" s="19" t="s">
        <v>68</v>
      </c>
      <c r="O7" s="39" t="s">
        <v>94</v>
      </c>
      <c r="P7" s="39" t="s">
        <v>95</v>
      </c>
      <c r="Q7" s="39" t="s">
        <v>96</v>
      </c>
      <c r="R7" s="20" t="s">
        <v>97</v>
      </c>
      <c r="S7" s="23" t="s">
        <v>73</v>
      </c>
      <c r="T7" s="38"/>
      <c r="U7" s="38" t="s">
        <v>58</v>
      </c>
      <c r="V7" s="38" t="s">
        <v>74</v>
      </c>
      <c r="W7" s="20" t="s">
        <v>107</v>
      </c>
      <c r="X7" s="21" t="s">
        <v>99</v>
      </c>
      <c r="Y7" s="21" t="s">
        <v>100</v>
      </c>
      <c r="Z7" s="21" t="s">
        <v>101</v>
      </c>
      <c r="AA7" s="38" t="s">
        <v>108</v>
      </c>
      <c r="AB7" s="21" t="s">
        <v>74</v>
      </c>
      <c r="AC7" s="41">
        <v>46143</v>
      </c>
      <c r="AD7" s="20" t="s">
        <v>109</v>
      </c>
    </row>
    <row r="8" spans="1:30" ht="60" customHeight="1">
      <c r="A8" s="35" t="s">
        <v>55</v>
      </c>
      <c r="B8" s="43" t="s">
        <v>110</v>
      </c>
      <c r="C8" s="36" t="s">
        <v>111</v>
      </c>
      <c r="D8" s="37" t="s">
        <v>58</v>
      </c>
      <c r="E8" s="38" t="s">
        <v>59</v>
      </c>
      <c r="F8" s="39" t="s">
        <v>112</v>
      </c>
      <c r="G8" s="39" t="s">
        <v>113</v>
      </c>
      <c r="H8" s="39" t="s">
        <v>89</v>
      </c>
      <c r="I8" s="22" t="s">
        <v>114</v>
      </c>
      <c r="J8" s="38" t="s">
        <v>91</v>
      </c>
      <c r="K8" s="38" t="s">
        <v>65</v>
      </c>
      <c r="L8" s="38" t="s">
        <v>92</v>
      </c>
      <c r="M8" s="38" t="s">
        <v>93</v>
      </c>
      <c r="N8" s="19" t="s">
        <v>68</v>
      </c>
      <c r="O8" s="39" t="s">
        <v>94</v>
      </c>
      <c r="P8" s="39" t="s">
        <v>95</v>
      </c>
      <c r="Q8" s="39" t="s">
        <v>96</v>
      </c>
      <c r="R8" s="39" t="s">
        <v>97</v>
      </c>
      <c r="S8" s="23" t="s">
        <v>73</v>
      </c>
      <c r="T8" s="38"/>
      <c r="U8" s="38" t="s">
        <v>58</v>
      </c>
      <c r="V8" s="38" t="s">
        <v>74</v>
      </c>
      <c r="W8" s="39" t="s">
        <v>115</v>
      </c>
      <c r="X8" s="21" t="s">
        <v>99</v>
      </c>
      <c r="Y8" s="38" t="s">
        <v>100</v>
      </c>
      <c r="Z8" s="38" t="s">
        <v>101</v>
      </c>
      <c r="AA8" s="38" t="s">
        <v>116</v>
      </c>
      <c r="AB8" s="38" t="s">
        <v>74</v>
      </c>
      <c r="AC8" s="41">
        <v>46143</v>
      </c>
      <c r="AD8" s="20" t="s">
        <v>117</v>
      </c>
    </row>
    <row r="9" spans="1:30" ht="60" customHeight="1">
      <c r="A9" s="35" t="s">
        <v>55</v>
      </c>
      <c r="B9" s="43" t="s">
        <v>118</v>
      </c>
      <c r="C9" s="36" t="s">
        <v>119</v>
      </c>
      <c r="D9" s="37" t="s">
        <v>58</v>
      </c>
      <c r="E9" s="38" t="s">
        <v>59</v>
      </c>
      <c r="F9" s="39" t="s">
        <v>120</v>
      </c>
      <c r="G9" s="39" t="s">
        <v>121</v>
      </c>
      <c r="H9" s="39" t="s">
        <v>89</v>
      </c>
      <c r="I9" s="22" t="s">
        <v>114</v>
      </c>
      <c r="J9" s="38" t="s">
        <v>91</v>
      </c>
      <c r="K9" s="38" t="s">
        <v>65</v>
      </c>
      <c r="L9" s="38" t="s">
        <v>92</v>
      </c>
      <c r="M9" s="38" t="s">
        <v>93</v>
      </c>
      <c r="N9" s="19" t="s">
        <v>68</v>
      </c>
      <c r="O9" s="39" t="s">
        <v>94</v>
      </c>
      <c r="P9" s="39" t="s">
        <v>95</v>
      </c>
      <c r="Q9" s="39" t="s">
        <v>96</v>
      </c>
      <c r="R9" s="39" t="s">
        <v>97</v>
      </c>
      <c r="S9" s="23" t="s">
        <v>73</v>
      </c>
      <c r="T9" s="38"/>
      <c r="U9" s="38" t="s">
        <v>58</v>
      </c>
      <c r="V9" s="38" t="s">
        <v>74</v>
      </c>
      <c r="W9" s="20" t="s">
        <v>122</v>
      </c>
      <c r="X9" s="21" t="s">
        <v>99</v>
      </c>
      <c r="Y9" s="38" t="s">
        <v>100</v>
      </c>
      <c r="Z9" s="38" t="s">
        <v>101</v>
      </c>
      <c r="AA9" s="38" t="s">
        <v>123</v>
      </c>
      <c r="AB9" s="21" t="s">
        <v>74</v>
      </c>
      <c r="AC9" s="41">
        <v>46143</v>
      </c>
      <c r="AD9" s="20" t="s">
        <v>117</v>
      </c>
    </row>
    <row r="10" spans="1:30" ht="112.9" customHeight="1">
      <c r="A10" s="35" t="s">
        <v>55</v>
      </c>
      <c r="B10" s="43" t="s">
        <v>124</v>
      </c>
      <c r="C10" s="36" t="s">
        <v>125</v>
      </c>
      <c r="D10" s="37" t="s">
        <v>58</v>
      </c>
      <c r="E10" s="38" t="s">
        <v>126</v>
      </c>
      <c r="F10" s="39" t="s">
        <v>127</v>
      </c>
      <c r="G10" s="39" t="s">
        <v>128</v>
      </c>
      <c r="H10" s="39" t="s">
        <v>129</v>
      </c>
      <c r="I10" s="22" t="s">
        <v>90</v>
      </c>
      <c r="J10" s="38" t="s">
        <v>91</v>
      </c>
      <c r="K10" s="38" t="s">
        <v>65</v>
      </c>
      <c r="L10" s="38" t="s">
        <v>92</v>
      </c>
      <c r="M10" s="38" t="s">
        <v>93</v>
      </c>
      <c r="N10" s="19" t="s">
        <v>68</v>
      </c>
      <c r="O10" s="39" t="s">
        <v>130</v>
      </c>
      <c r="P10" s="39" t="s">
        <v>95</v>
      </c>
      <c r="Q10" s="39" t="s">
        <v>131</v>
      </c>
      <c r="R10" s="39" t="s">
        <v>132</v>
      </c>
      <c r="S10" s="23" t="s">
        <v>73</v>
      </c>
      <c r="T10" s="38" t="s">
        <v>133</v>
      </c>
      <c r="U10" s="38" t="s">
        <v>58</v>
      </c>
      <c r="V10" s="38" t="s">
        <v>134</v>
      </c>
      <c r="W10" s="39" t="s">
        <v>135</v>
      </c>
      <c r="X10" s="21" t="s">
        <v>136</v>
      </c>
      <c r="Y10" s="38" t="s">
        <v>137</v>
      </c>
      <c r="Z10" s="38" t="s">
        <v>138</v>
      </c>
      <c r="AA10" s="38" t="s">
        <v>136</v>
      </c>
      <c r="AB10" s="21" t="s">
        <v>74</v>
      </c>
      <c r="AC10" s="41">
        <v>46143</v>
      </c>
      <c r="AD10" s="20"/>
    </row>
    <row r="11" spans="1:30" ht="79.900000000000006" customHeight="1">
      <c r="A11" s="35" t="s">
        <v>55</v>
      </c>
      <c r="B11" s="43" t="s">
        <v>139</v>
      </c>
      <c r="C11" s="36" t="s">
        <v>140</v>
      </c>
      <c r="D11" s="37" t="s">
        <v>58</v>
      </c>
      <c r="E11" s="38" t="s">
        <v>126</v>
      </c>
      <c r="F11" s="39" t="s">
        <v>141</v>
      </c>
      <c r="G11" s="39" t="s">
        <v>142</v>
      </c>
      <c r="H11" s="39" t="s">
        <v>129</v>
      </c>
      <c r="I11" s="22" t="s">
        <v>90</v>
      </c>
      <c r="J11" s="38" t="s">
        <v>91</v>
      </c>
      <c r="K11" s="38" t="s">
        <v>65</v>
      </c>
      <c r="L11" s="38" t="s">
        <v>66</v>
      </c>
      <c r="M11" s="38" t="s">
        <v>93</v>
      </c>
      <c r="N11" s="19" t="s">
        <v>68</v>
      </c>
      <c r="O11" s="39" t="s">
        <v>143</v>
      </c>
      <c r="P11" s="39" t="s">
        <v>95</v>
      </c>
      <c r="Q11" s="39" t="s">
        <v>131</v>
      </c>
      <c r="R11" s="39" t="s">
        <v>132</v>
      </c>
      <c r="S11" s="23" t="s">
        <v>73</v>
      </c>
      <c r="T11" s="38" t="s">
        <v>133</v>
      </c>
      <c r="U11" s="38" t="s">
        <v>58</v>
      </c>
      <c r="V11" s="38" t="s">
        <v>134</v>
      </c>
      <c r="W11" s="39" t="s">
        <v>144</v>
      </c>
      <c r="X11" s="38" t="s">
        <v>76</v>
      </c>
      <c r="Y11" s="38" t="s">
        <v>76</v>
      </c>
      <c r="Z11" s="38" t="s">
        <v>76</v>
      </c>
      <c r="AA11" s="38" t="s">
        <v>76</v>
      </c>
      <c r="AB11" s="21" t="s">
        <v>74</v>
      </c>
      <c r="AC11" s="41">
        <v>46143</v>
      </c>
      <c r="AD11" s="20"/>
    </row>
    <row r="12" spans="1:30" ht="81" customHeight="1">
      <c r="A12" s="35" t="s">
        <v>145</v>
      </c>
      <c r="B12" s="43" t="s">
        <v>146</v>
      </c>
      <c r="C12" s="36" t="s">
        <v>147</v>
      </c>
      <c r="D12" s="37" t="s">
        <v>58</v>
      </c>
      <c r="E12" s="38" t="s">
        <v>126</v>
      </c>
      <c r="F12" s="39" t="s">
        <v>148</v>
      </c>
      <c r="G12" s="39" t="s">
        <v>149</v>
      </c>
      <c r="H12" s="39" t="s">
        <v>150</v>
      </c>
      <c r="I12" s="39" t="s">
        <v>151</v>
      </c>
      <c r="J12" s="38" t="s">
        <v>152</v>
      </c>
      <c r="K12" s="38" t="s">
        <v>153</v>
      </c>
      <c r="L12" s="38" t="s">
        <v>92</v>
      </c>
      <c r="M12" s="38" t="s">
        <v>67</v>
      </c>
      <c r="N12" s="23" t="s">
        <v>154</v>
      </c>
      <c r="O12" s="39" t="s">
        <v>155</v>
      </c>
      <c r="P12" s="39"/>
      <c r="Q12" s="39" t="s">
        <v>156</v>
      </c>
      <c r="R12" s="39" t="s">
        <v>157</v>
      </c>
      <c r="S12" s="23" t="s">
        <v>73</v>
      </c>
      <c r="T12" s="38" t="s">
        <v>133</v>
      </c>
      <c r="U12" s="38" t="s">
        <v>58</v>
      </c>
      <c r="V12" s="38" t="s">
        <v>134</v>
      </c>
      <c r="W12" s="39" t="s">
        <v>158</v>
      </c>
      <c r="X12" s="38" t="s">
        <v>136</v>
      </c>
      <c r="Y12" s="21" t="s">
        <v>137</v>
      </c>
      <c r="Z12" s="38" t="s">
        <v>138</v>
      </c>
      <c r="AA12" s="38" t="s">
        <v>136</v>
      </c>
      <c r="AB12" s="21" t="s">
        <v>74</v>
      </c>
      <c r="AC12" s="41">
        <v>46143</v>
      </c>
      <c r="AD12" s="20"/>
    </row>
    <row r="13" spans="1:30" ht="85.9" customHeight="1">
      <c r="A13" s="35" t="s">
        <v>145</v>
      </c>
      <c r="B13" s="43" t="s">
        <v>159</v>
      </c>
      <c r="C13" s="36" t="s">
        <v>160</v>
      </c>
      <c r="D13" s="37" t="s">
        <v>58</v>
      </c>
      <c r="E13" s="38" t="s">
        <v>126</v>
      </c>
      <c r="F13" s="39" t="s">
        <v>161</v>
      </c>
      <c r="G13" s="39" t="s">
        <v>162</v>
      </c>
      <c r="H13" s="39" t="s">
        <v>150</v>
      </c>
      <c r="I13" s="39" t="s">
        <v>151</v>
      </c>
      <c r="J13" s="38" t="s">
        <v>152</v>
      </c>
      <c r="K13" s="38" t="s">
        <v>163</v>
      </c>
      <c r="L13" s="38" t="s">
        <v>66</v>
      </c>
      <c r="M13" s="38" t="s">
        <v>67</v>
      </c>
      <c r="N13" s="23" t="s">
        <v>154</v>
      </c>
      <c r="O13" s="39" t="s">
        <v>155</v>
      </c>
      <c r="P13" s="39"/>
      <c r="Q13" s="39" t="s">
        <v>156</v>
      </c>
      <c r="R13" s="39" t="s">
        <v>157</v>
      </c>
      <c r="S13" s="23" t="s">
        <v>73</v>
      </c>
      <c r="T13" s="38" t="s">
        <v>133</v>
      </c>
      <c r="U13" s="38" t="s">
        <v>58</v>
      </c>
      <c r="V13" s="38" t="s">
        <v>134</v>
      </c>
      <c r="W13" s="39" t="s">
        <v>158</v>
      </c>
      <c r="X13" s="38" t="s">
        <v>76</v>
      </c>
      <c r="Y13" s="38" t="s">
        <v>76</v>
      </c>
      <c r="Z13" s="38" t="s">
        <v>76</v>
      </c>
      <c r="AA13" s="38" t="s">
        <v>76</v>
      </c>
      <c r="AB13" s="21" t="s">
        <v>74</v>
      </c>
      <c r="AC13" s="41">
        <v>46143</v>
      </c>
      <c r="AD13" s="20"/>
    </row>
    <row r="14" spans="1:30" ht="82.9" customHeight="1">
      <c r="A14" s="35" t="s">
        <v>55</v>
      </c>
      <c r="B14" s="43" t="s">
        <v>164</v>
      </c>
      <c r="C14" s="36" t="s">
        <v>165</v>
      </c>
      <c r="D14" s="37" t="s">
        <v>58</v>
      </c>
      <c r="E14" s="38" t="s">
        <v>126</v>
      </c>
      <c r="F14" s="39" t="s">
        <v>166</v>
      </c>
      <c r="G14" s="39" t="s">
        <v>167</v>
      </c>
      <c r="H14" s="39" t="s">
        <v>168</v>
      </c>
      <c r="I14" s="39" t="s">
        <v>169</v>
      </c>
      <c r="J14" s="38" t="s">
        <v>170</v>
      </c>
      <c r="K14" s="38" t="s">
        <v>65</v>
      </c>
      <c r="L14" s="38" t="s">
        <v>66</v>
      </c>
      <c r="M14" s="38" t="s">
        <v>93</v>
      </c>
      <c r="N14" s="19" t="s">
        <v>68</v>
      </c>
      <c r="O14" s="39" t="s">
        <v>171</v>
      </c>
      <c r="P14" s="39" t="s">
        <v>172</v>
      </c>
      <c r="Q14" s="39" t="s">
        <v>173</v>
      </c>
      <c r="R14" s="39" t="s">
        <v>174</v>
      </c>
      <c r="S14" s="19" t="s">
        <v>175</v>
      </c>
      <c r="T14" s="38" t="s">
        <v>176</v>
      </c>
      <c r="U14" s="38" t="s">
        <v>58</v>
      </c>
      <c r="V14" s="21" t="s">
        <v>177</v>
      </c>
      <c r="W14" s="39" t="s">
        <v>178</v>
      </c>
      <c r="X14" s="38" t="s">
        <v>179</v>
      </c>
      <c r="Y14" s="21" t="s">
        <v>180</v>
      </c>
      <c r="Z14" s="21" t="s">
        <v>181</v>
      </c>
      <c r="AA14" s="38" t="s">
        <v>179</v>
      </c>
      <c r="AB14" s="21" t="s">
        <v>74</v>
      </c>
      <c r="AC14" s="41">
        <v>46143</v>
      </c>
      <c r="AD14" s="20"/>
    </row>
    <row r="15" spans="1:30" ht="69.599999999999994" customHeight="1">
      <c r="A15" s="35" t="s">
        <v>182</v>
      </c>
      <c r="B15" s="43" t="s">
        <v>183</v>
      </c>
      <c r="C15" s="36" t="s">
        <v>184</v>
      </c>
      <c r="D15" s="37" t="s">
        <v>58</v>
      </c>
      <c r="E15" s="38" t="s">
        <v>126</v>
      </c>
      <c r="F15" s="20" t="s">
        <v>185</v>
      </c>
      <c r="G15" s="39" t="s">
        <v>186</v>
      </c>
      <c r="H15" s="39" t="s">
        <v>187</v>
      </c>
      <c r="I15" s="39" t="s">
        <v>188</v>
      </c>
      <c r="J15" s="38" t="s">
        <v>189</v>
      </c>
      <c r="K15" s="38" t="s">
        <v>190</v>
      </c>
      <c r="L15" s="38" t="s">
        <v>92</v>
      </c>
      <c r="M15" s="38" t="s">
        <v>191</v>
      </c>
      <c r="N15" s="23" t="s">
        <v>154</v>
      </c>
      <c r="O15" s="39" t="s">
        <v>192</v>
      </c>
      <c r="P15" s="39"/>
      <c r="Q15" s="39" t="s">
        <v>193</v>
      </c>
      <c r="R15" s="39" t="s">
        <v>194</v>
      </c>
      <c r="S15" s="23" t="s">
        <v>73</v>
      </c>
      <c r="T15" s="38" t="s">
        <v>133</v>
      </c>
      <c r="U15" s="38" t="s">
        <v>58</v>
      </c>
      <c r="V15" s="38" t="s">
        <v>189</v>
      </c>
      <c r="W15" s="39" t="s">
        <v>195</v>
      </c>
      <c r="X15" s="21" t="s">
        <v>196</v>
      </c>
      <c r="Y15" s="21" t="s">
        <v>197</v>
      </c>
      <c r="Z15" s="38" t="s">
        <v>198</v>
      </c>
      <c r="AA15" s="21" t="s">
        <v>196</v>
      </c>
      <c r="AB15" s="21" t="s">
        <v>199</v>
      </c>
      <c r="AC15" s="41">
        <v>46143</v>
      </c>
      <c r="AD15" s="20" t="s">
        <v>200</v>
      </c>
    </row>
    <row r="16" spans="1:30" ht="107.25" customHeight="1">
      <c r="A16" s="35" t="s">
        <v>55</v>
      </c>
      <c r="B16" s="43" t="s">
        <v>201</v>
      </c>
      <c r="C16" s="36" t="s">
        <v>202</v>
      </c>
      <c r="D16" s="38" t="s">
        <v>203</v>
      </c>
      <c r="E16" s="38" t="s">
        <v>204</v>
      </c>
      <c r="F16" s="39" t="s">
        <v>205</v>
      </c>
      <c r="G16" s="39" t="s">
        <v>206</v>
      </c>
      <c r="H16" s="39" t="s">
        <v>207</v>
      </c>
      <c r="I16" s="22" t="s">
        <v>208</v>
      </c>
      <c r="J16" s="38" t="s">
        <v>209</v>
      </c>
      <c r="K16" s="38" t="s">
        <v>65</v>
      </c>
      <c r="L16" s="38" t="s">
        <v>92</v>
      </c>
      <c r="M16" s="38" t="s">
        <v>210</v>
      </c>
      <c r="N16" s="19" t="s">
        <v>68</v>
      </c>
      <c r="O16" s="20" t="s">
        <v>211</v>
      </c>
      <c r="P16" s="39" t="s">
        <v>212</v>
      </c>
      <c r="Q16" s="20" t="s">
        <v>213</v>
      </c>
      <c r="R16" s="39" t="s">
        <v>214</v>
      </c>
      <c r="S16" s="19" t="s">
        <v>175</v>
      </c>
      <c r="T16" s="38" t="s">
        <v>176</v>
      </c>
      <c r="U16" s="38" t="s">
        <v>58</v>
      </c>
      <c r="V16" s="38" t="s">
        <v>177</v>
      </c>
      <c r="W16" s="39" t="s">
        <v>215</v>
      </c>
      <c r="X16" s="38" t="s">
        <v>216</v>
      </c>
      <c r="Y16" s="38" t="s">
        <v>217</v>
      </c>
      <c r="Z16" s="38" t="s">
        <v>218</v>
      </c>
      <c r="AA16" s="38" t="s">
        <v>219</v>
      </c>
      <c r="AB16" s="21" t="s">
        <v>74</v>
      </c>
      <c r="AC16" s="41">
        <v>46143</v>
      </c>
      <c r="AD16" s="20" t="s">
        <v>220</v>
      </c>
    </row>
    <row r="17" spans="1:30" ht="87" customHeight="1">
      <c r="A17" s="35" t="s">
        <v>55</v>
      </c>
      <c r="B17" s="43" t="s">
        <v>221</v>
      </c>
      <c r="C17" s="36" t="s">
        <v>222</v>
      </c>
      <c r="D17" s="37" t="s">
        <v>203</v>
      </c>
      <c r="E17" s="38" t="s">
        <v>204</v>
      </c>
      <c r="F17" s="39" t="s">
        <v>223</v>
      </c>
      <c r="G17" s="39" t="s">
        <v>206</v>
      </c>
      <c r="H17" s="39" t="s">
        <v>224</v>
      </c>
      <c r="I17" s="22" t="s">
        <v>208</v>
      </c>
      <c r="J17" s="38" t="s">
        <v>225</v>
      </c>
      <c r="K17" s="38" t="s">
        <v>65</v>
      </c>
      <c r="L17" s="38" t="s">
        <v>92</v>
      </c>
      <c r="M17" s="38" t="s">
        <v>210</v>
      </c>
      <c r="N17" s="19" t="s">
        <v>68</v>
      </c>
      <c r="O17" s="39" t="s">
        <v>211</v>
      </c>
      <c r="P17" s="39" t="s">
        <v>212</v>
      </c>
      <c r="Q17" s="39" t="s">
        <v>213</v>
      </c>
      <c r="R17" s="39" t="s">
        <v>214</v>
      </c>
      <c r="S17" s="23" t="s">
        <v>73</v>
      </c>
      <c r="T17" s="38" t="s">
        <v>133</v>
      </c>
      <c r="U17" s="38" t="s">
        <v>58</v>
      </c>
      <c r="V17" s="38" t="s">
        <v>226</v>
      </c>
      <c r="W17" s="39" t="s">
        <v>215</v>
      </c>
      <c r="X17" s="38" t="s">
        <v>216</v>
      </c>
      <c r="Y17" s="38" t="s">
        <v>217</v>
      </c>
      <c r="Z17" s="38" t="s">
        <v>218</v>
      </c>
      <c r="AA17" s="38" t="s">
        <v>219</v>
      </c>
      <c r="AB17" s="21" t="s">
        <v>74</v>
      </c>
      <c r="AC17" s="41">
        <v>46143</v>
      </c>
      <c r="AD17" s="20" t="s">
        <v>227</v>
      </c>
    </row>
    <row r="18" spans="1:30" ht="60" customHeight="1">
      <c r="A18" s="35" t="s">
        <v>145</v>
      </c>
      <c r="B18" s="43" t="s">
        <v>228</v>
      </c>
      <c r="C18" s="36" t="s">
        <v>229</v>
      </c>
      <c r="D18" s="37" t="s">
        <v>203</v>
      </c>
      <c r="E18" s="38" t="s">
        <v>230</v>
      </c>
      <c r="F18" s="39" t="s">
        <v>231</v>
      </c>
      <c r="G18" s="20" t="s">
        <v>232</v>
      </c>
      <c r="H18" s="20" t="s">
        <v>233</v>
      </c>
      <c r="I18" s="22" t="s">
        <v>208</v>
      </c>
      <c r="J18" s="38" t="s">
        <v>234</v>
      </c>
      <c r="K18" s="38" t="s">
        <v>65</v>
      </c>
      <c r="L18" s="38" t="s">
        <v>92</v>
      </c>
      <c r="M18" s="38" t="s">
        <v>93</v>
      </c>
      <c r="N18" s="23" t="s">
        <v>154</v>
      </c>
      <c r="O18" s="39"/>
      <c r="P18" s="39"/>
      <c r="Q18" s="39" t="s">
        <v>235</v>
      </c>
      <c r="R18" s="39" t="s">
        <v>236</v>
      </c>
      <c r="S18" s="23" t="s">
        <v>73</v>
      </c>
      <c r="T18" s="38" t="s">
        <v>133</v>
      </c>
      <c r="U18" s="38" t="s">
        <v>58</v>
      </c>
      <c r="V18" s="38" t="s">
        <v>237</v>
      </c>
      <c r="W18" s="39" t="s">
        <v>238</v>
      </c>
      <c r="X18" s="38" t="s">
        <v>216</v>
      </c>
      <c r="Y18" s="38" t="s">
        <v>217</v>
      </c>
      <c r="Z18" s="38" t="s">
        <v>218</v>
      </c>
      <c r="AA18" s="38" t="s">
        <v>219</v>
      </c>
      <c r="AB18" s="21" t="s">
        <v>74</v>
      </c>
      <c r="AC18" s="41">
        <v>46143</v>
      </c>
      <c r="AD18" s="20"/>
    </row>
    <row r="19" spans="1:30" ht="60" customHeight="1">
      <c r="A19" s="35" t="s">
        <v>145</v>
      </c>
      <c r="B19" s="43" t="s">
        <v>239</v>
      </c>
      <c r="C19" s="36" t="s">
        <v>240</v>
      </c>
      <c r="D19" s="37" t="s">
        <v>203</v>
      </c>
      <c r="E19" s="38" t="s">
        <v>230</v>
      </c>
      <c r="F19" s="39" t="s">
        <v>241</v>
      </c>
      <c r="G19" s="39" t="s">
        <v>242</v>
      </c>
      <c r="H19" s="39" t="s">
        <v>233</v>
      </c>
      <c r="I19" s="22" t="s">
        <v>208</v>
      </c>
      <c r="J19" s="38" t="s">
        <v>234</v>
      </c>
      <c r="K19" s="38" t="s">
        <v>65</v>
      </c>
      <c r="L19" s="38" t="s">
        <v>92</v>
      </c>
      <c r="M19" s="38" t="s">
        <v>93</v>
      </c>
      <c r="N19" s="23" t="s">
        <v>154</v>
      </c>
      <c r="O19" s="39"/>
      <c r="P19" s="39"/>
      <c r="Q19" s="39" t="s">
        <v>235</v>
      </c>
      <c r="R19" s="39" t="s">
        <v>236</v>
      </c>
      <c r="S19" s="23" t="s">
        <v>73</v>
      </c>
      <c r="T19" s="38" t="s">
        <v>133</v>
      </c>
      <c r="U19" s="38" t="s">
        <v>58</v>
      </c>
      <c r="V19" s="38" t="s">
        <v>237</v>
      </c>
      <c r="W19" s="39"/>
      <c r="X19" s="38" t="s">
        <v>216</v>
      </c>
      <c r="Y19" s="38" t="s">
        <v>217</v>
      </c>
      <c r="Z19" s="38" t="s">
        <v>218</v>
      </c>
      <c r="AA19" s="38" t="s">
        <v>219</v>
      </c>
      <c r="AB19" s="21" t="s">
        <v>74</v>
      </c>
      <c r="AC19" s="41">
        <v>46143</v>
      </c>
      <c r="AD19" s="20"/>
    </row>
    <row r="20" spans="1:30" ht="60" customHeight="1">
      <c r="A20" s="35" t="s">
        <v>145</v>
      </c>
      <c r="B20" s="43" t="s">
        <v>243</v>
      </c>
      <c r="C20" s="36" t="s">
        <v>244</v>
      </c>
      <c r="D20" s="37" t="s">
        <v>203</v>
      </c>
      <c r="E20" s="38" t="s">
        <v>230</v>
      </c>
      <c r="F20" s="39" t="s">
        <v>245</v>
      </c>
      <c r="G20" s="20" t="s">
        <v>246</v>
      </c>
      <c r="H20" s="20" t="s">
        <v>233</v>
      </c>
      <c r="I20" s="22" t="s">
        <v>208</v>
      </c>
      <c r="J20" s="38" t="s">
        <v>234</v>
      </c>
      <c r="K20" s="38" t="s">
        <v>65</v>
      </c>
      <c r="L20" s="38" t="s">
        <v>92</v>
      </c>
      <c r="M20" s="38" t="s">
        <v>93</v>
      </c>
      <c r="N20" s="23" t="s">
        <v>154</v>
      </c>
      <c r="O20" s="39"/>
      <c r="P20" s="39"/>
      <c r="Q20" s="39" t="s">
        <v>235</v>
      </c>
      <c r="R20" s="39" t="s">
        <v>236</v>
      </c>
      <c r="S20" s="23" t="s">
        <v>73</v>
      </c>
      <c r="T20" s="38" t="s">
        <v>133</v>
      </c>
      <c r="U20" s="38" t="s">
        <v>58</v>
      </c>
      <c r="V20" s="38" t="s">
        <v>237</v>
      </c>
      <c r="W20" s="39" t="s">
        <v>238</v>
      </c>
      <c r="X20" s="38" t="s">
        <v>216</v>
      </c>
      <c r="Y20" s="38" t="s">
        <v>217</v>
      </c>
      <c r="Z20" s="38" t="s">
        <v>218</v>
      </c>
      <c r="AA20" s="38" t="s">
        <v>219</v>
      </c>
      <c r="AB20" s="21" t="s">
        <v>74</v>
      </c>
      <c r="AC20" s="41">
        <v>46143</v>
      </c>
      <c r="AD20" s="20"/>
    </row>
    <row r="21" spans="1:30" ht="60" customHeight="1">
      <c r="A21" s="35" t="s">
        <v>145</v>
      </c>
      <c r="B21" s="43" t="s">
        <v>247</v>
      </c>
      <c r="C21" s="36" t="s">
        <v>248</v>
      </c>
      <c r="D21" s="37" t="s">
        <v>203</v>
      </c>
      <c r="E21" s="38" t="s">
        <v>230</v>
      </c>
      <c r="F21" s="39" t="s">
        <v>249</v>
      </c>
      <c r="G21" s="20" t="s">
        <v>250</v>
      </c>
      <c r="H21" s="20" t="s">
        <v>233</v>
      </c>
      <c r="I21" s="22" t="s">
        <v>208</v>
      </c>
      <c r="J21" s="38" t="s">
        <v>234</v>
      </c>
      <c r="K21" s="38" t="s">
        <v>65</v>
      </c>
      <c r="L21" s="38" t="s">
        <v>92</v>
      </c>
      <c r="M21" s="38" t="s">
        <v>93</v>
      </c>
      <c r="N21" s="23" t="s">
        <v>154</v>
      </c>
      <c r="O21" s="39"/>
      <c r="P21" s="39"/>
      <c r="Q21" s="39" t="s">
        <v>235</v>
      </c>
      <c r="R21" s="39" t="s">
        <v>236</v>
      </c>
      <c r="S21" s="23" t="s">
        <v>73</v>
      </c>
      <c r="T21" s="38" t="s">
        <v>133</v>
      </c>
      <c r="U21" s="38" t="s">
        <v>58</v>
      </c>
      <c r="V21" s="38" t="s">
        <v>237</v>
      </c>
      <c r="W21" s="39" t="s">
        <v>238</v>
      </c>
      <c r="X21" s="38" t="s">
        <v>216</v>
      </c>
      <c r="Y21" s="38" t="s">
        <v>217</v>
      </c>
      <c r="Z21" s="38" t="s">
        <v>218</v>
      </c>
      <c r="AA21" s="38" t="s">
        <v>219</v>
      </c>
      <c r="AB21" s="21" t="s">
        <v>74</v>
      </c>
      <c r="AC21" s="41">
        <v>46143</v>
      </c>
      <c r="AD21" s="20"/>
    </row>
    <row r="22" spans="1:30" ht="60" customHeight="1">
      <c r="A22" s="35" t="s">
        <v>145</v>
      </c>
      <c r="B22" s="43" t="s">
        <v>251</v>
      </c>
      <c r="C22" s="36" t="s">
        <v>252</v>
      </c>
      <c r="D22" s="37" t="s">
        <v>203</v>
      </c>
      <c r="E22" s="38" t="s">
        <v>230</v>
      </c>
      <c r="F22" s="39" t="s">
        <v>253</v>
      </c>
      <c r="G22" s="20" t="s">
        <v>254</v>
      </c>
      <c r="H22" s="20" t="s">
        <v>233</v>
      </c>
      <c r="I22" s="22" t="s">
        <v>208</v>
      </c>
      <c r="J22" s="38" t="s">
        <v>234</v>
      </c>
      <c r="K22" s="38" t="s">
        <v>65</v>
      </c>
      <c r="L22" s="38" t="s">
        <v>92</v>
      </c>
      <c r="M22" s="38" t="s">
        <v>93</v>
      </c>
      <c r="N22" s="23" t="s">
        <v>154</v>
      </c>
      <c r="O22" s="39"/>
      <c r="P22" s="39"/>
      <c r="Q22" s="39" t="s">
        <v>235</v>
      </c>
      <c r="R22" s="39" t="s">
        <v>236</v>
      </c>
      <c r="S22" s="23" t="s">
        <v>73</v>
      </c>
      <c r="T22" s="38" t="s">
        <v>133</v>
      </c>
      <c r="U22" s="38" t="s">
        <v>58</v>
      </c>
      <c r="V22" s="38" t="s">
        <v>237</v>
      </c>
      <c r="W22" s="39" t="s">
        <v>238</v>
      </c>
      <c r="X22" s="38" t="s">
        <v>216</v>
      </c>
      <c r="Y22" s="38" t="s">
        <v>217</v>
      </c>
      <c r="Z22" s="38" t="s">
        <v>218</v>
      </c>
      <c r="AA22" s="38" t="s">
        <v>219</v>
      </c>
      <c r="AB22" s="21" t="s">
        <v>74</v>
      </c>
      <c r="AC22" s="41">
        <v>46143</v>
      </c>
      <c r="AD22" s="20"/>
    </row>
    <row r="23" spans="1:30" ht="42.75" customHeight="1">
      <c r="A23" s="35" t="s">
        <v>55</v>
      </c>
      <c r="B23" s="43" t="s">
        <v>255</v>
      </c>
      <c r="C23" s="36" t="s">
        <v>256</v>
      </c>
      <c r="D23" s="37" t="s">
        <v>203</v>
      </c>
      <c r="E23" s="38" t="s">
        <v>257</v>
      </c>
      <c r="F23" s="39" t="s">
        <v>258</v>
      </c>
      <c r="G23" s="39" t="s">
        <v>259</v>
      </c>
      <c r="H23" s="39" t="s">
        <v>233</v>
      </c>
      <c r="I23" s="22" t="s">
        <v>208</v>
      </c>
      <c r="J23" s="38" t="s">
        <v>177</v>
      </c>
      <c r="K23" s="38" t="s">
        <v>65</v>
      </c>
      <c r="L23" s="38" t="s">
        <v>92</v>
      </c>
      <c r="M23" s="38" t="s">
        <v>93</v>
      </c>
      <c r="N23" s="24" t="s">
        <v>260</v>
      </c>
      <c r="O23" s="39" t="s">
        <v>261</v>
      </c>
      <c r="P23" s="39" t="s">
        <v>212</v>
      </c>
      <c r="Q23" s="25"/>
      <c r="R23" s="25"/>
      <c r="S23" s="23" t="s">
        <v>73</v>
      </c>
      <c r="T23" s="38" t="s">
        <v>133</v>
      </c>
      <c r="U23" s="38" t="s">
        <v>58</v>
      </c>
      <c r="V23" s="38" t="s">
        <v>177</v>
      </c>
      <c r="W23" s="39" t="s">
        <v>262</v>
      </c>
      <c r="X23" s="21" t="s">
        <v>263</v>
      </c>
      <c r="Y23" s="21" t="s">
        <v>264</v>
      </c>
      <c r="Z23" s="38" t="s">
        <v>265</v>
      </c>
      <c r="AA23" s="38" t="s">
        <v>263</v>
      </c>
      <c r="AB23" s="21" t="s">
        <v>74</v>
      </c>
      <c r="AC23" s="41">
        <v>46143</v>
      </c>
      <c r="AD23" s="20"/>
    </row>
    <row r="24" spans="1:30" ht="96" customHeight="1">
      <c r="A24" s="35" t="s">
        <v>55</v>
      </c>
      <c r="B24" s="43" t="s">
        <v>266</v>
      </c>
      <c r="C24" s="36" t="s">
        <v>267</v>
      </c>
      <c r="D24" s="37" t="s">
        <v>203</v>
      </c>
      <c r="E24" s="38" t="s">
        <v>257</v>
      </c>
      <c r="F24" s="39" t="s">
        <v>268</v>
      </c>
      <c r="G24" s="39" t="s">
        <v>269</v>
      </c>
      <c r="H24" s="39" t="s">
        <v>270</v>
      </c>
      <c r="I24" s="22" t="s">
        <v>208</v>
      </c>
      <c r="J24" s="38" t="s">
        <v>271</v>
      </c>
      <c r="K24" s="38" t="s">
        <v>65</v>
      </c>
      <c r="L24" s="38" t="s">
        <v>92</v>
      </c>
      <c r="M24" s="38" t="s">
        <v>272</v>
      </c>
      <c r="N24" s="24" t="s">
        <v>260</v>
      </c>
      <c r="O24" s="20" t="s">
        <v>273</v>
      </c>
      <c r="P24" s="39" t="s">
        <v>212</v>
      </c>
      <c r="Q24" s="25"/>
      <c r="R24" s="25"/>
      <c r="S24" s="19" t="s">
        <v>175</v>
      </c>
      <c r="T24" s="38" t="s">
        <v>176</v>
      </c>
      <c r="U24" s="38" t="s">
        <v>58</v>
      </c>
      <c r="V24" s="38" t="s">
        <v>64</v>
      </c>
      <c r="W24" s="39" t="s">
        <v>274</v>
      </c>
      <c r="X24" s="38" t="s">
        <v>275</v>
      </c>
      <c r="Y24" s="21" t="s">
        <v>276</v>
      </c>
      <c r="Z24" s="38" t="s">
        <v>277</v>
      </c>
      <c r="AA24" s="38" t="s">
        <v>275</v>
      </c>
      <c r="AB24" s="21" t="s">
        <v>74</v>
      </c>
      <c r="AC24" s="41">
        <v>46143</v>
      </c>
      <c r="AD24" s="20"/>
    </row>
    <row r="25" spans="1:30" ht="79.900000000000006" customHeight="1">
      <c r="A25" s="35" t="s">
        <v>55</v>
      </c>
      <c r="B25" s="43" t="s">
        <v>278</v>
      </c>
      <c r="C25" s="36" t="s">
        <v>279</v>
      </c>
      <c r="D25" s="37" t="s">
        <v>280</v>
      </c>
      <c r="E25" s="38" t="s">
        <v>281</v>
      </c>
      <c r="F25" s="39" t="s">
        <v>282</v>
      </c>
      <c r="G25" s="20" t="s">
        <v>283</v>
      </c>
      <c r="H25" s="39" t="s">
        <v>284</v>
      </c>
      <c r="I25" s="39" t="s">
        <v>285</v>
      </c>
      <c r="J25" s="38" t="s">
        <v>286</v>
      </c>
      <c r="K25" s="38" t="s">
        <v>65</v>
      </c>
      <c r="L25" s="38" t="s">
        <v>287</v>
      </c>
      <c r="M25" s="38" t="s">
        <v>93</v>
      </c>
      <c r="N25" s="19" t="s">
        <v>68</v>
      </c>
      <c r="O25" s="39"/>
      <c r="P25" s="39"/>
      <c r="Q25" s="39" t="s">
        <v>288</v>
      </c>
      <c r="R25" s="39" t="s">
        <v>289</v>
      </c>
      <c r="S25" s="23" t="s">
        <v>73</v>
      </c>
      <c r="T25" s="38" t="s">
        <v>133</v>
      </c>
      <c r="U25" s="38" t="s">
        <v>280</v>
      </c>
      <c r="V25" s="38" t="s">
        <v>134</v>
      </c>
      <c r="W25" s="39" t="s">
        <v>144</v>
      </c>
      <c r="X25" s="38" t="s">
        <v>290</v>
      </c>
      <c r="Y25" s="21" t="s">
        <v>291</v>
      </c>
      <c r="Z25" s="38" t="s">
        <v>292</v>
      </c>
      <c r="AA25" s="38" t="s">
        <v>102</v>
      </c>
      <c r="AB25" s="21" t="s">
        <v>74</v>
      </c>
      <c r="AC25" s="41">
        <v>46143</v>
      </c>
      <c r="AD25" s="20"/>
    </row>
    <row r="26" spans="1:30" ht="60" customHeight="1">
      <c r="A26" s="35" t="s">
        <v>145</v>
      </c>
      <c r="B26" s="43" t="s">
        <v>293</v>
      </c>
      <c r="C26" s="36" t="s">
        <v>294</v>
      </c>
      <c r="D26" s="37" t="s">
        <v>280</v>
      </c>
      <c r="E26" s="38" t="s">
        <v>281</v>
      </c>
      <c r="F26" s="39" t="s">
        <v>295</v>
      </c>
      <c r="G26" s="39" t="s">
        <v>296</v>
      </c>
      <c r="H26" s="39" t="s">
        <v>297</v>
      </c>
      <c r="I26" s="39" t="s">
        <v>151</v>
      </c>
      <c r="J26" s="38" t="s">
        <v>152</v>
      </c>
      <c r="K26" s="38" t="s">
        <v>163</v>
      </c>
      <c r="L26" s="38" t="s">
        <v>287</v>
      </c>
      <c r="M26" s="38" t="s">
        <v>67</v>
      </c>
      <c r="N26" s="23" t="s">
        <v>154</v>
      </c>
      <c r="O26" s="39"/>
      <c r="P26" s="39"/>
      <c r="Q26" s="39" t="s">
        <v>156</v>
      </c>
      <c r="R26" s="39" t="s">
        <v>157</v>
      </c>
      <c r="S26" s="23" t="s">
        <v>73</v>
      </c>
      <c r="T26" s="38" t="s">
        <v>133</v>
      </c>
      <c r="U26" s="38" t="s">
        <v>280</v>
      </c>
      <c r="V26" s="38" t="s">
        <v>134</v>
      </c>
      <c r="W26" s="39"/>
      <c r="X26" s="38" t="s">
        <v>298</v>
      </c>
      <c r="Y26" s="21" t="s">
        <v>299</v>
      </c>
      <c r="Z26" s="38" t="s">
        <v>300</v>
      </c>
      <c r="AA26" s="38" t="s">
        <v>102</v>
      </c>
      <c r="AB26" s="38" t="s">
        <v>301</v>
      </c>
      <c r="AC26" s="41">
        <v>46143</v>
      </c>
      <c r="AD26" s="20"/>
    </row>
    <row r="27" spans="1:30" ht="84.6" customHeight="1">
      <c r="A27" s="35" t="s">
        <v>55</v>
      </c>
      <c r="B27" s="43" t="s">
        <v>302</v>
      </c>
      <c r="C27" s="36" t="s">
        <v>303</v>
      </c>
      <c r="D27" s="37" t="s">
        <v>280</v>
      </c>
      <c r="E27" s="38" t="s">
        <v>281</v>
      </c>
      <c r="F27" s="39" t="s">
        <v>304</v>
      </c>
      <c r="G27" s="20" t="s">
        <v>305</v>
      </c>
      <c r="H27" s="39" t="s">
        <v>306</v>
      </c>
      <c r="I27" s="39" t="s">
        <v>307</v>
      </c>
      <c r="J27" s="38" t="s">
        <v>286</v>
      </c>
      <c r="K27" s="38" t="s">
        <v>65</v>
      </c>
      <c r="L27" s="38" t="s">
        <v>287</v>
      </c>
      <c r="M27" s="38" t="s">
        <v>93</v>
      </c>
      <c r="N27" s="19" t="s">
        <v>68</v>
      </c>
      <c r="O27" s="39" t="s">
        <v>308</v>
      </c>
      <c r="P27" s="39" t="s">
        <v>309</v>
      </c>
      <c r="Q27" s="39" t="s">
        <v>310</v>
      </c>
      <c r="R27" s="39" t="s">
        <v>311</v>
      </c>
      <c r="S27" s="19" t="s">
        <v>175</v>
      </c>
      <c r="T27" s="38" t="s">
        <v>176</v>
      </c>
      <c r="U27" s="38" t="s">
        <v>280</v>
      </c>
      <c r="V27" s="38" t="s">
        <v>134</v>
      </c>
      <c r="W27" s="39"/>
      <c r="X27" s="38" t="s">
        <v>312</v>
      </c>
      <c r="Y27" s="38" t="s">
        <v>313</v>
      </c>
      <c r="Z27" s="38" t="s">
        <v>314</v>
      </c>
      <c r="AA27" s="38" t="s">
        <v>102</v>
      </c>
      <c r="AB27" s="21" t="s">
        <v>74</v>
      </c>
      <c r="AC27" s="41">
        <v>46143</v>
      </c>
      <c r="AD27" s="20"/>
    </row>
    <row r="28" spans="1:30" ht="60" customHeight="1">
      <c r="A28" s="35" t="s">
        <v>145</v>
      </c>
      <c r="B28" s="43" t="s">
        <v>315</v>
      </c>
      <c r="C28" s="36" t="s">
        <v>316</v>
      </c>
      <c r="D28" s="37" t="s">
        <v>280</v>
      </c>
      <c r="E28" s="38" t="s">
        <v>281</v>
      </c>
      <c r="F28" s="39" t="s">
        <v>317</v>
      </c>
      <c r="G28" s="39" t="s">
        <v>318</v>
      </c>
      <c r="H28" s="39" t="s">
        <v>319</v>
      </c>
      <c r="I28" s="39" t="s">
        <v>320</v>
      </c>
      <c r="J28" s="38" t="s">
        <v>286</v>
      </c>
      <c r="K28" s="38" t="s">
        <v>65</v>
      </c>
      <c r="L28" s="38" t="s">
        <v>287</v>
      </c>
      <c r="M28" s="38" t="s">
        <v>93</v>
      </c>
      <c r="N28" s="23" t="s">
        <v>154</v>
      </c>
      <c r="O28" s="39" t="s">
        <v>321</v>
      </c>
      <c r="P28" s="39"/>
      <c r="Q28" s="20" t="s">
        <v>322</v>
      </c>
      <c r="R28" s="20" t="s">
        <v>323</v>
      </c>
      <c r="S28" s="23" t="s">
        <v>73</v>
      </c>
      <c r="T28" s="38" t="s">
        <v>133</v>
      </c>
      <c r="U28" s="38" t="s">
        <v>280</v>
      </c>
      <c r="V28" s="38" t="s">
        <v>134</v>
      </c>
      <c r="W28" s="39"/>
      <c r="X28" s="38" t="s">
        <v>324</v>
      </c>
      <c r="Y28" s="21" t="s">
        <v>325</v>
      </c>
      <c r="Z28" s="38" t="s">
        <v>326</v>
      </c>
      <c r="AA28" s="38" t="s">
        <v>102</v>
      </c>
      <c r="AB28" s="21" t="s">
        <v>74</v>
      </c>
      <c r="AC28" s="41">
        <v>46143</v>
      </c>
      <c r="AD28" s="20"/>
    </row>
    <row r="29" spans="1:30" ht="60" customHeight="1">
      <c r="A29" s="35" t="s">
        <v>55</v>
      </c>
      <c r="B29" s="43" t="s">
        <v>327</v>
      </c>
      <c r="C29" s="36" t="s">
        <v>328</v>
      </c>
      <c r="D29" s="37" t="s">
        <v>280</v>
      </c>
      <c r="E29" s="38" t="s">
        <v>329</v>
      </c>
      <c r="F29" s="20" t="s">
        <v>330</v>
      </c>
      <c r="G29" s="20" t="s">
        <v>331</v>
      </c>
      <c r="H29" s="39" t="s">
        <v>332</v>
      </c>
      <c r="I29" s="39" t="s">
        <v>333</v>
      </c>
      <c r="J29" s="38" t="s">
        <v>286</v>
      </c>
      <c r="K29" s="38" t="s">
        <v>65</v>
      </c>
      <c r="L29" s="38" t="s">
        <v>334</v>
      </c>
      <c r="M29" s="38" t="s">
        <v>93</v>
      </c>
      <c r="N29" s="19" t="s">
        <v>68</v>
      </c>
      <c r="O29" s="39" t="s">
        <v>335</v>
      </c>
      <c r="P29" s="39"/>
      <c r="Q29" s="39" t="s">
        <v>336</v>
      </c>
      <c r="R29" s="39" t="s">
        <v>337</v>
      </c>
      <c r="S29" s="23" t="s">
        <v>73</v>
      </c>
      <c r="T29" s="38" t="s">
        <v>133</v>
      </c>
      <c r="U29" s="38" t="s">
        <v>280</v>
      </c>
      <c r="V29" s="38" t="s">
        <v>134</v>
      </c>
      <c r="W29" s="47" t="s">
        <v>338</v>
      </c>
      <c r="X29" s="21" t="s">
        <v>76</v>
      </c>
      <c r="Y29" s="21" t="s">
        <v>76</v>
      </c>
      <c r="Z29" s="21" t="s">
        <v>76</v>
      </c>
      <c r="AA29" s="21" t="s">
        <v>76</v>
      </c>
      <c r="AB29" s="21" t="s">
        <v>74</v>
      </c>
      <c r="AC29" s="41">
        <v>46143</v>
      </c>
      <c r="AD29" s="39" t="s">
        <v>339</v>
      </c>
    </row>
    <row r="30" spans="1:30" ht="60" customHeight="1">
      <c r="A30" s="35" t="s">
        <v>55</v>
      </c>
      <c r="B30" s="43" t="s">
        <v>340</v>
      </c>
      <c r="C30" s="36" t="s">
        <v>341</v>
      </c>
      <c r="D30" s="37" t="s">
        <v>280</v>
      </c>
      <c r="E30" s="38" t="s">
        <v>329</v>
      </c>
      <c r="F30" s="20" t="s">
        <v>342</v>
      </c>
      <c r="G30" s="20" t="s">
        <v>343</v>
      </c>
      <c r="H30" s="39" t="s">
        <v>344</v>
      </c>
      <c r="I30" s="39" t="s">
        <v>345</v>
      </c>
      <c r="J30" s="38" t="s">
        <v>286</v>
      </c>
      <c r="K30" s="38" t="s">
        <v>65</v>
      </c>
      <c r="L30" s="38" t="s">
        <v>334</v>
      </c>
      <c r="M30" s="38" t="s">
        <v>93</v>
      </c>
      <c r="N30" s="19" t="s">
        <v>68</v>
      </c>
      <c r="O30" s="39" t="s">
        <v>346</v>
      </c>
      <c r="P30" s="39"/>
      <c r="Q30" s="39" t="s">
        <v>347</v>
      </c>
      <c r="R30" s="39" t="s">
        <v>348</v>
      </c>
      <c r="S30" s="23" t="s">
        <v>73</v>
      </c>
      <c r="T30" s="38" t="s">
        <v>133</v>
      </c>
      <c r="U30" s="38" t="s">
        <v>280</v>
      </c>
      <c r="V30" s="38" t="s">
        <v>134</v>
      </c>
      <c r="W30" s="39" t="s">
        <v>339</v>
      </c>
      <c r="X30" s="38" t="s">
        <v>76</v>
      </c>
      <c r="Y30" s="38" t="s">
        <v>76</v>
      </c>
      <c r="Z30" s="38" t="s">
        <v>76</v>
      </c>
      <c r="AA30" s="38" t="s">
        <v>76</v>
      </c>
      <c r="AB30" s="38" t="s">
        <v>74</v>
      </c>
      <c r="AC30" s="41">
        <v>46143</v>
      </c>
      <c r="AD30" s="20"/>
    </row>
    <row r="31" spans="1:30" ht="60" customHeight="1">
      <c r="A31" s="35" t="s">
        <v>349</v>
      </c>
      <c r="B31" s="43" t="s">
        <v>350</v>
      </c>
      <c r="C31" s="36" t="s">
        <v>351</v>
      </c>
      <c r="D31" s="37" t="s">
        <v>352</v>
      </c>
      <c r="E31" s="38" t="s">
        <v>353</v>
      </c>
      <c r="F31" s="39" t="s">
        <v>354</v>
      </c>
      <c r="G31" s="20" t="s">
        <v>355</v>
      </c>
      <c r="H31" s="20" t="s">
        <v>356</v>
      </c>
      <c r="I31" s="20" t="s">
        <v>357</v>
      </c>
      <c r="J31" s="38" t="s">
        <v>358</v>
      </c>
      <c r="K31" s="38" t="s">
        <v>359</v>
      </c>
      <c r="L31" s="38" t="s">
        <v>360</v>
      </c>
      <c r="M31" s="38" t="s">
        <v>361</v>
      </c>
      <c r="N31" s="24" t="s">
        <v>260</v>
      </c>
      <c r="O31" s="20" t="s">
        <v>362</v>
      </c>
      <c r="P31" s="20" t="s">
        <v>363</v>
      </c>
      <c r="Q31" s="20"/>
      <c r="R31" s="39"/>
      <c r="S31" s="19" t="s">
        <v>175</v>
      </c>
      <c r="T31" s="38" t="s">
        <v>176</v>
      </c>
      <c r="U31" s="38" t="s">
        <v>352</v>
      </c>
      <c r="V31" s="21" t="s">
        <v>364</v>
      </c>
      <c r="W31" s="39" t="s">
        <v>365</v>
      </c>
      <c r="X31" s="38" t="s">
        <v>76</v>
      </c>
      <c r="Y31" s="38" t="s">
        <v>76</v>
      </c>
      <c r="Z31" s="38" t="s">
        <v>76</v>
      </c>
      <c r="AA31" s="38" t="s">
        <v>76</v>
      </c>
      <c r="AB31" s="38" t="s">
        <v>301</v>
      </c>
      <c r="AC31" s="41">
        <v>46143</v>
      </c>
      <c r="AD31" s="20"/>
    </row>
    <row r="32" spans="1:30" ht="60" customHeight="1">
      <c r="A32" s="35" t="s">
        <v>349</v>
      </c>
      <c r="B32" s="43" t="s">
        <v>366</v>
      </c>
      <c r="C32" s="36" t="s">
        <v>367</v>
      </c>
      <c r="D32" s="37" t="s">
        <v>352</v>
      </c>
      <c r="E32" s="38" t="s">
        <v>353</v>
      </c>
      <c r="F32" s="39" t="s">
        <v>368</v>
      </c>
      <c r="G32" s="39" t="s">
        <v>369</v>
      </c>
      <c r="H32" s="39" t="s">
        <v>370</v>
      </c>
      <c r="I32" s="39" t="s">
        <v>371</v>
      </c>
      <c r="J32" s="38" t="s">
        <v>64</v>
      </c>
      <c r="K32" s="38" t="s">
        <v>163</v>
      </c>
      <c r="L32" s="38" t="s">
        <v>360</v>
      </c>
      <c r="M32" s="38" t="s">
        <v>372</v>
      </c>
      <c r="N32" s="24" t="s">
        <v>260</v>
      </c>
      <c r="O32" s="39" t="s">
        <v>373</v>
      </c>
      <c r="P32" s="39" t="s">
        <v>374</v>
      </c>
      <c r="Q32" s="39"/>
      <c r="R32" s="39"/>
      <c r="S32" s="19" t="s">
        <v>175</v>
      </c>
      <c r="T32" s="38"/>
      <c r="U32" s="21" t="s">
        <v>352</v>
      </c>
      <c r="V32" s="21" t="s">
        <v>364</v>
      </c>
      <c r="W32" s="39" t="s">
        <v>64</v>
      </c>
      <c r="X32" s="38" t="s">
        <v>375</v>
      </c>
      <c r="Y32" s="38" t="s">
        <v>76</v>
      </c>
      <c r="Z32" s="38" t="s">
        <v>76</v>
      </c>
      <c r="AA32" s="38" t="s">
        <v>76</v>
      </c>
      <c r="AB32" s="38" t="s">
        <v>301</v>
      </c>
      <c r="AC32" s="41">
        <v>46143</v>
      </c>
      <c r="AD32" s="39"/>
    </row>
    <row r="33" spans="1:30" ht="60" customHeight="1">
      <c r="A33" s="35" t="s">
        <v>349</v>
      </c>
      <c r="B33" s="43" t="s">
        <v>376</v>
      </c>
      <c r="C33" s="36" t="s">
        <v>377</v>
      </c>
      <c r="D33" s="37" t="s">
        <v>352</v>
      </c>
      <c r="E33" s="38" t="s">
        <v>353</v>
      </c>
      <c r="F33" s="39" t="s">
        <v>378</v>
      </c>
      <c r="G33" s="39" t="s">
        <v>379</v>
      </c>
      <c r="H33" s="39" t="s">
        <v>380</v>
      </c>
      <c r="I33" s="39" t="s">
        <v>381</v>
      </c>
      <c r="J33" s="38" t="s">
        <v>64</v>
      </c>
      <c r="K33" s="38" t="s">
        <v>382</v>
      </c>
      <c r="L33" s="38" t="s">
        <v>383</v>
      </c>
      <c r="M33" s="38" t="s">
        <v>372</v>
      </c>
      <c r="N33" s="24" t="s">
        <v>260</v>
      </c>
      <c r="O33" s="20" t="s">
        <v>362</v>
      </c>
      <c r="P33" s="39" t="s">
        <v>374</v>
      </c>
      <c r="Q33" s="39"/>
      <c r="R33" s="39" t="s">
        <v>384</v>
      </c>
      <c r="S33" s="23" t="s">
        <v>73</v>
      </c>
      <c r="T33" s="38" t="s">
        <v>133</v>
      </c>
      <c r="U33" s="38" t="s">
        <v>352</v>
      </c>
      <c r="V33" s="38" t="s">
        <v>64</v>
      </c>
      <c r="W33" s="39" t="s">
        <v>385</v>
      </c>
      <c r="X33" s="38" t="s">
        <v>76</v>
      </c>
      <c r="Y33" s="38" t="s">
        <v>76</v>
      </c>
      <c r="Z33" s="38" t="s">
        <v>76</v>
      </c>
      <c r="AA33" s="38" t="s">
        <v>76</v>
      </c>
      <c r="AB33" s="38" t="s">
        <v>301</v>
      </c>
      <c r="AC33" s="41">
        <v>46143</v>
      </c>
      <c r="AD33" s="20"/>
    </row>
    <row r="34" spans="1:30" ht="60" customHeight="1">
      <c r="A34" s="35" t="s">
        <v>349</v>
      </c>
      <c r="B34" s="43" t="s">
        <v>386</v>
      </c>
      <c r="C34" s="36" t="s">
        <v>387</v>
      </c>
      <c r="D34" s="37" t="s">
        <v>352</v>
      </c>
      <c r="E34" s="38" t="s">
        <v>388</v>
      </c>
      <c r="F34" s="39" t="s">
        <v>389</v>
      </c>
      <c r="G34" s="39" t="s">
        <v>390</v>
      </c>
      <c r="H34" s="39" t="s">
        <v>391</v>
      </c>
      <c r="I34" s="39" t="s">
        <v>392</v>
      </c>
      <c r="J34" s="38" t="s">
        <v>64</v>
      </c>
      <c r="K34" s="38" t="s">
        <v>163</v>
      </c>
      <c r="L34" s="38" t="s">
        <v>92</v>
      </c>
      <c r="M34" s="38" t="s">
        <v>67</v>
      </c>
      <c r="N34" s="24" t="s">
        <v>260</v>
      </c>
      <c r="O34" s="20" t="s">
        <v>362</v>
      </c>
      <c r="P34" s="39" t="s">
        <v>374</v>
      </c>
      <c r="Q34" s="39"/>
      <c r="R34" s="39" t="s">
        <v>393</v>
      </c>
      <c r="S34" s="23" t="s">
        <v>73</v>
      </c>
      <c r="T34" s="38" t="s">
        <v>133</v>
      </c>
      <c r="U34" s="38" t="s">
        <v>352</v>
      </c>
      <c r="V34" s="21" t="s">
        <v>364</v>
      </c>
      <c r="W34" s="39" t="s">
        <v>394</v>
      </c>
      <c r="X34" s="38" t="s">
        <v>395</v>
      </c>
      <c r="Y34" s="21" t="s">
        <v>396</v>
      </c>
      <c r="Z34" s="38" t="s">
        <v>397</v>
      </c>
      <c r="AA34" s="38" t="s">
        <v>395</v>
      </c>
      <c r="AB34" s="38" t="s">
        <v>301</v>
      </c>
      <c r="AC34" s="41">
        <v>46143</v>
      </c>
      <c r="AD34" s="20"/>
    </row>
    <row r="35" spans="1:30" ht="60" customHeight="1">
      <c r="A35" s="35" t="s">
        <v>55</v>
      </c>
      <c r="B35" s="43" t="s">
        <v>398</v>
      </c>
      <c r="C35" s="36" t="s">
        <v>399</v>
      </c>
      <c r="D35" s="37" t="s">
        <v>352</v>
      </c>
      <c r="E35" s="38" t="s">
        <v>388</v>
      </c>
      <c r="F35" s="39" t="s">
        <v>400</v>
      </c>
      <c r="G35" s="20" t="s">
        <v>401</v>
      </c>
      <c r="H35" s="39" t="s">
        <v>402</v>
      </c>
      <c r="I35" s="22" t="s">
        <v>208</v>
      </c>
      <c r="J35" s="38" t="s">
        <v>271</v>
      </c>
      <c r="K35" s="38" t="s">
        <v>65</v>
      </c>
      <c r="L35" s="38" t="s">
        <v>92</v>
      </c>
      <c r="M35" s="38" t="s">
        <v>272</v>
      </c>
      <c r="N35" s="19" t="s">
        <v>68</v>
      </c>
      <c r="O35" s="39" t="s">
        <v>211</v>
      </c>
      <c r="P35" s="20" t="s">
        <v>212</v>
      </c>
      <c r="Q35" s="39"/>
      <c r="R35" s="39"/>
      <c r="S35" s="23" t="s">
        <v>73</v>
      </c>
      <c r="T35" s="38"/>
      <c r="U35" s="21" t="s">
        <v>352</v>
      </c>
      <c r="V35" s="21" t="s">
        <v>364</v>
      </c>
      <c r="W35" s="20" t="s">
        <v>403</v>
      </c>
      <c r="X35" s="38" t="s">
        <v>216</v>
      </c>
      <c r="Y35" s="21" t="s">
        <v>404</v>
      </c>
      <c r="Z35" s="21" t="s">
        <v>218</v>
      </c>
      <c r="AA35" s="38" t="s">
        <v>216</v>
      </c>
      <c r="AB35" s="21" t="s">
        <v>74</v>
      </c>
      <c r="AC35" s="41">
        <v>46143</v>
      </c>
      <c r="AD35" s="39"/>
    </row>
    <row r="36" spans="1:30" ht="60" customHeight="1">
      <c r="A36" s="35" t="s">
        <v>145</v>
      </c>
      <c r="B36" s="43" t="s">
        <v>405</v>
      </c>
      <c r="C36" s="36" t="s">
        <v>406</v>
      </c>
      <c r="D36" s="37" t="s">
        <v>352</v>
      </c>
      <c r="E36" s="38" t="s">
        <v>407</v>
      </c>
      <c r="F36" s="39" t="s">
        <v>408</v>
      </c>
      <c r="G36" s="39" t="s">
        <v>409</v>
      </c>
      <c r="H36" s="20" t="s">
        <v>410</v>
      </c>
      <c r="I36" s="20" t="s">
        <v>411</v>
      </c>
      <c r="J36" s="38" t="s">
        <v>412</v>
      </c>
      <c r="K36" s="38" t="s">
        <v>163</v>
      </c>
      <c r="L36" s="38" t="s">
        <v>92</v>
      </c>
      <c r="M36" s="38" t="s">
        <v>413</v>
      </c>
      <c r="N36" s="23" t="s">
        <v>154</v>
      </c>
      <c r="O36" s="20" t="s">
        <v>414</v>
      </c>
      <c r="P36" s="39"/>
      <c r="Q36" s="20" t="s">
        <v>415</v>
      </c>
      <c r="R36" s="20" t="s">
        <v>416</v>
      </c>
      <c r="S36" s="23" t="s">
        <v>73</v>
      </c>
      <c r="T36" s="38" t="s">
        <v>133</v>
      </c>
      <c r="U36" s="38" t="s">
        <v>352</v>
      </c>
      <c r="V36" s="21" t="s">
        <v>417</v>
      </c>
      <c r="W36" s="39" t="s">
        <v>418</v>
      </c>
      <c r="X36" s="38" t="s">
        <v>419</v>
      </c>
      <c r="Y36" s="21" t="s">
        <v>420</v>
      </c>
      <c r="Z36" s="38" t="s">
        <v>421</v>
      </c>
      <c r="AA36" s="38" t="s">
        <v>419</v>
      </c>
      <c r="AB36" s="21" t="s">
        <v>422</v>
      </c>
      <c r="AC36" s="41">
        <v>46143</v>
      </c>
      <c r="AD36" s="20"/>
    </row>
    <row r="37" spans="1:30" ht="60" customHeight="1">
      <c r="A37" s="35" t="s">
        <v>145</v>
      </c>
      <c r="B37" s="43" t="s">
        <v>423</v>
      </c>
      <c r="C37" s="36" t="s">
        <v>424</v>
      </c>
      <c r="D37" s="37" t="s">
        <v>352</v>
      </c>
      <c r="E37" s="38" t="s">
        <v>407</v>
      </c>
      <c r="F37" s="39" t="s">
        <v>425</v>
      </c>
      <c r="G37" s="39" t="s">
        <v>426</v>
      </c>
      <c r="H37" s="20" t="s">
        <v>427</v>
      </c>
      <c r="I37" s="39" t="s">
        <v>411</v>
      </c>
      <c r="J37" s="21" t="s">
        <v>412</v>
      </c>
      <c r="K37" s="38" t="s">
        <v>65</v>
      </c>
      <c r="L37" s="38" t="s">
        <v>360</v>
      </c>
      <c r="M37" s="38" t="s">
        <v>428</v>
      </c>
      <c r="N37" s="23" t="s">
        <v>154</v>
      </c>
      <c r="O37" s="20" t="s">
        <v>429</v>
      </c>
      <c r="P37" s="39"/>
      <c r="Q37" s="20" t="s">
        <v>430</v>
      </c>
      <c r="R37" s="20" t="s">
        <v>431</v>
      </c>
      <c r="S37" s="23" t="s">
        <v>73</v>
      </c>
      <c r="T37" s="38" t="s">
        <v>133</v>
      </c>
      <c r="U37" s="38" t="s">
        <v>352</v>
      </c>
      <c r="V37" s="21" t="s">
        <v>417</v>
      </c>
      <c r="W37" s="39" t="s">
        <v>432</v>
      </c>
      <c r="X37" s="21" t="s">
        <v>76</v>
      </c>
      <c r="Y37" s="21" t="s">
        <v>76</v>
      </c>
      <c r="Z37" s="21" t="s">
        <v>76</v>
      </c>
      <c r="AA37" s="21" t="s">
        <v>76</v>
      </c>
      <c r="AB37" s="21" t="s">
        <v>422</v>
      </c>
      <c r="AC37" s="41">
        <v>46143</v>
      </c>
      <c r="AD37" s="20"/>
    </row>
    <row r="38" spans="1:30" ht="60" customHeight="1">
      <c r="A38" s="35" t="s">
        <v>145</v>
      </c>
      <c r="B38" s="43" t="s">
        <v>433</v>
      </c>
      <c r="C38" s="36" t="s">
        <v>434</v>
      </c>
      <c r="D38" s="37" t="s">
        <v>352</v>
      </c>
      <c r="E38" s="38" t="s">
        <v>407</v>
      </c>
      <c r="F38" s="20" t="s">
        <v>435</v>
      </c>
      <c r="G38" s="20" t="s">
        <v>436</v>
      </c>
      <c r="H38" s="39" t="s">
        <v>437</v>
      </c>
      <c r="I38" s="20" t="s">
        <v>438</v>
      </c>
      <c r="J38" s="38" t="s">
        <v>417</v>
      </c>
      <c r="K38" s="38" t="s">
        <v>163</v>
      </c>
      <c r="L38" s="38" t="s">
        <v>92</v>
      </c>
      <c r="M38" s="38" t="s">
        <v>439</v>
      </c>
      <c r="N38" s="23" t="s">
        <v>154</v>
      </c>
      <c r="O38" s="20" t="s">
        <v>440</v>
      </c>
      <c r="P38" s="39"/>
      <c r="Q38" s="20" t="s">
        <v>441</v>
      </c>
      <c r="R38" s="20" t="s">
        <v>442</v>
      </c>
      <c r="S38" s="23" t="s">
        <v>175</v>
      </c>
      <c r="T38" s="64">
        <v>46174</v>
      </c>
      <c r="U38" s="38" t="s">
        <v>352</v>
      </c>
      <c r="V38" s="38" t="s">
        <v>417</v>
      </c>
      <c r="W38" s="39" t="s">
        <v>443</v>
      </c>
      <c r="X38" s="38" t="s">
        <v>444</v>
      </c>
      <c r="Y38" s="21" t="s">
        <v>445</v>
      </c>
      <c r="Z38" s="38" t="s">
        <v>446</v>
      </c>
      <c r="AA38" s="38" t="s">
        <v>444</v>
      </c>
      <c r="AB38" s="21" t="s">
        <v>422</v>
      </c>
      <c r="AC38" s="41">
        <v>46143</v>
      </c>
      <c r="AD38" s="20"/>
    </row>
    <row r="39" spans="1:30" ht="60" customHeight="1">
      <c r="A39" s="35" t="s">
        <v>145</v>
      </c>
      <c r="B39" s="43" t="s">
        <v>447</v>
      </c>
      <c r="C39" s="36" t="s">
        <v>448</v>
      </c>
      <c r="D39" s="37" t="s">
        <v>352</v>
      </c>
      <c r="E39" s="38" t="s">
        <v>407</v>
      </c>
      <c r="F39" s="39" t="s">
        <v>449</v>
      </c>
      <c r="G39" s="39" t="s">
        <v>450</v>
      </c>
      <c r="H39" s="20" t="s">
        <v>451</v>
      </c>
      <c r="I39" s="20" t="s">
        <v>411</v>
      </c>
      <c r="J39" s="38" t="s">
        <v>452</v>
      </c>
      <c r="K39" s="38" t="s">
        <v>163</v>
      </c>
      <c r="L39" s="21" t="s">
        <v>453</v>
      </c>
      <c r="M39" s="38" t="s">
        <v>454</v>
      </c>
      <c r="N39" s="23" t="s">
        <v>154</v>
      </c>
      <c r="O39" s="20" t="s">
        <v>455</v>
      </c>
      <c r="P39" s="39"/>
      <c r="Q39" s="39" t="s">
        <v>456</v>
      </c>
      <c r="R39" s="20" t="s">
        <v>457</v>
      </c>
      <c r="S39" s="23" t="s">
        <v>175</v>
      </c>
      <c r="T39" s="64">
        <v>46174</v>
      </c>
      <c r="U39" s="38" t="s">
        <v>352</v>
      </c>
      <c r="V39" s="38" t="s">
        <v>417</v>
      </c>
      <c r="W39" s="39" t="s">
        <v>458</v>
      </c>
      <c r="X39" s="38" t="s">
        <v>459</v>
      </c>
      <c r="Y39" s="21" t="s">
        <v>460</v>
      </c>
      <c r="Z39" s="38" t="s">
        <v>461</v>
      </c>
      <c r="AA39" s="38" t="s">
        <v>459</v>
      </c>
      <c r="AB39" s="21" t="s">
        <v>422</v>
      </c>
      <c r="AC39" s="41">
        <v>46143</v>
      </c>
      <c r="AD39" s="20"/>
    </row>
    <row r="40" spans="1:30" ht="60" customHeight="1">
      <c r="A40" s="35" t="s">
        <v>182</v>
      </c>
      <c r="B40" s="43" t="s">
        <v>462</v>
      </c>
      <c r="C40" s="36" t="s">
        <v>463</v>
      </c>
      <c r="D40" s="37" t="s">
        <v>352</v>
      </c>
      <c r="E40" s="38" t="s">
        <v>464</v>
      </c>
      <c r="F40" s="39" t="s">
        <v>465</v>
      </c>
      <c r="G40" s="39" t="s">
        <v>466</v>
      </c>
      <c r="H40" s="20" t="s">
        <v>467</v>
      </c>
      <c r="I40" s="39" t="s">
        <v>468</v>
      </c>
      <c r="J40" s="38" t="s">
        <v>64</v>
      </c>
      <c r="K40" s="38" t="s">
        <v>163</v>
      </c>
      <c r="L40" s="38" t="s">
        <v>469</v>
      </c>
      <c r="M40" s="38" t="s">
        <v>470</v>
      </c>
      <c r="N40" s="23" t="s">
        <v>154</v>
      </c>
      <c r="O40" s="39"/>
      <c r="P40" s="39"/>
      <c r="Q40" s="39" t="s">
        <v>471</v>
      </c>
      <c r="R40" s="20" t="s">
        <v>472</v>
      </c>
      <c r="S40" s="23" t="s">
        <v>73</v>
      </c>
      <c r="T40" s="38" t="s">
        <v>133</v>
      </c>
      <c r="U40" s="38" t="s">
        <v>352</v>
      </c>
      <c r="V40" s="38" t="s">
        <v>64</v>
      </c>
      <c r="W40" s="39" t="s">
        <v>473</v>
      </c>
      <c r="X40" s="38" t="s">
        <v>474</v>
      </c>
      <c r="Y40" s="21" t="s">
        <v>475</v>
      </c>
      <c r="Z40" s="38" t="s">
        <v>476</v>
      </c>
      <c r="AA40" s="38" t="s">
        <v>477</v>
      </c>
      <c r="AB40" s="38" t="s">
        <v>301</v>
      </c>
      <c r="AC40" s="41">
        <v>46143</v>
      </c>
      <c r="AD40" s="20"/>
    </row>
    <row r="41" spans="1:30" ht="60" customHeight="1">
      <c r="A41" s="35" t="s">
        <v>349</v>
      </c>
      <c r="B41" s="43" t="s">
        <v>478</v>
      </c>
      <c r="C41" s="36" t="s">
        <v>479</v>
      </c>
      <c r="D41" s="37" t="s">
        <v>352</v>
      </c>
      <c r="E41" s="38" t="s">
        <v>388</v>
      </c>
      <c r="F41" s="39" t="s">
        <v>480</v>
      </c>
      <c r="G41" s="39" t="s">
        <v>481</v>
      </c>
      <c r="H41" s="39" t="s">
        <v>482</v>
      </c>
      <c r="I41" s="20" t="s">
        <v>483</v>
      </c>
      <c r="J41" s="38" t="s">
        <v>64</v>
      </c>
      <c r="K41" s="38" t="s">
        <v>163</v>
      </c>
      <c r="L41" s="38" t="s">
        <v>484</v>
      </c>
      <c r="M41" s="38" t="s">
        <v>485</v>
      </c>
      <c r="N41" s="24" t="s">
        <v>260</v>
      </c>
      <c r="O41" s="20"/>
      <c r="P41" s="39" t="s">
        <v>374</v>
      </c>
      <c r="Q41" s="20"/>
      <c r="R41" s="39"/>
      <c r="S41" s="23" t="s">
        <v>73</v>
      </c>
      <c r="T41" s="38" t="s">
        <v>133</v>
      </c>
      <c r="U41" s="38" t="s">
        <v>352</v>
      </c>
      <c r="V41" s="38" t="s">
        <v>64</v>
      </c>
      <c r="W41" s="39" t="s">
        <v>486</v>
      </c>
      <c r="X41" s="38" t="s">
        <v>487</v>
      </c>
      <c r="Y41" s="21" t="s">
        <v>488</v>
      </c>
      <c r="Z41" s="38" t="s">
        <v>489</v>
      </c>
      <c r="AA41" s="38" t="s">
        <v>490</v>
      </c>
      <c r="AB41" s="38" t="s">
        <v>301</v>
      </c>
      <c r="AC41" s="41">
        <v>46143</v>
      </c>
      <c r="AD41" s="20"/>
    </row>
    <row r="42" spans="1:30" ht="60" customHeight="1">
      <c r="A42" s="44" t="s">
        <v>55</v>
      </c>
      <c r="B42" s="43" t="s">
        <v>491</v>
      </c>
      <c r="C42" s="36" t="s">
        <v>492</v>
      </c>
      <c r="D42" s="37" t="s">
        <v>280</v>
      </c>
      <c r="E42" s="38" t="s">
        <v>281</v>
      </c>
      <c r="F42" s="39" t="s">
        <v>493</v>
      </c>
      <c r="G42" s="39" t="s">
        <v>493</v>
      </c>
      <c r="H42" s="42" t="s">
        <v>494</v>
      </c>
      <c r="I42" s="42" t="s">
        <v>307</v>
      </c>
      <c r="J42" s="45" t="s">
        <v>286</v>
      </c>
      <c r="K42" s="45" t="s">
        <v>65</v>
      </c>
      <c r="L42" s="45" t="s">
        <v>495</v>
      </c>
      <c r="M42" s="45" t="s">
        <v>93</v>
      </c>
      <c r="N42" s="24" t="s">
        <v>260</v>
      </c>
      <c r="O42" s="39" t="s">
        <v>496</v>
      </c>
      <c r="P42" s="39" t="s">
        <v>95</v>
      </c>
      <c r="Q42" s="39"/>
      <c r="R42" s="20"/>
      <c r="S42" s="23" t="s">
        <v>73</v>
      </c>
      <c r="T42" s="38"/>
      <c r="U42" s="38" t="s">
        <v>280</v>
      </c>
      <c r="V42" s="21" t="s">
        <v>134</v>
      </c>
      <c r="W42" s="20"/>
      <c r="X42" s="38" t="s">
        <v>76</v>
      </c>
      <c r="Y42" s="21" t="s">
        <v>76</v>
      </c>
      <c r="Z42" s="38" t="s">
        <v>76</v>
      </c>
      <c r="AA42" s="38" t="s">
        <v>76</v>
      </c>
      <c r="AB42" s="38" t="s">
        <v>74</v>
      </c>
      <c r="AC42" s="41">
        <v>46143</v>
      </c>
      <c r="AD42" s="20"/>
    </row>
    <row r="43" spans="1:30" ht="78.599999999999994" customHeight="1">
      <c r="A43" s="44" t="s">
        <v>182</v>
      </c>
      <c r="B43" s="43" t="s">
        <v>497</v>
      </c>
      <c r="C43" s="36" t="s">
        <v>498</v>
      </c>
      <c r="D43" s="37" t="s">
        <v>280</v>
      </c>
      <c r="E43" s="38" t="s">
        <v>281</v>
      </c>
      <c r="F43" s="39" t="s">
        <v>499</v>
      </c>
      <c r="G43" s="39" t="s">
        <v>500</v>
      </c>
      <c r="H43" s="39" t="s">
        <v>501</v>
      </c>
      <c r="I43" s="42" t="s">
        <v>307</v>
      </c>
      <c r="J43" s="38" t="s">
        <v>286</v>
      </c>
      <c r="K43" s="38" t="s">
        <v>65</v>
      </c>
      <c r="L43" s="38" t="s">
        <v>287</v>
      </c>
      <c r="M43" s="38" t="s">
        <v>93</v>
      </c>
      <c r="N43" s="23" t="s">
        <v>154</v>
      </c>
      <c r="O43" s="39"/>
      <c r="P43" s="39"/>
      <c r="Q43" s="39" t="s">
        <v>156</v>
      </c>
      <c r="R43" s="39" t="s">
        <v>157</v>
      </c>
      <c r="S43" s="23" t="s">
        <v>73</v>
      </c>
      <c r="T43" s="38"/>
      <c r="U43" s="38" t="s">
        <v>280</v>
      </c>
      <c r="V43" s="38" t="s">
        <v>134</v>
      </c>
      <c r="W43" s="39" t="s">
        <v>500</v>
      </c>
      <c r="X43" s="38" t="s">
        <v>502</v>
      </c>
      <c r="Y43" s="21" t="s">
        <v>503</v>
      </c>
      <c r="Z43" s="38" t="s">
        <v>504</v>
      </c>
      <c r="AA43" s="38" t="s">
        <v>102</v>
      </c>
      <c r="AB43" s="21" t="s">
        <v>74</v>
      </c>
      <c r="AC43" s="41">
        <v>46143</v>
      </c>
      <c r="AD43" s="20"/>
    </row>
    <row r="44" spans="1:30" ht="78.599999999999994" customHeight="1">
      <c r="A44" s="44" t="s">
        <v>182</v>
      </c>
      <c r="B44" s="43" t="s">
        <v>505</v>
      </c>
      <c r="C44" s="50" t="s">
        <v>506</v>
      </c>
      <c r="D44" s="51" t="s">
        <v>352</v>
      </c>
      <c r="E44" s="54" t="s">
        <v>407</v>
      </c>
      <c r="F44" s="55" t="s">
        <v>507</v>
      </c>
      <c r="G44" s="39" t="s">
        <v>508</v>
      </c>
      <c r="H44" s="20" t="s">
        <v>509</v>
      </c>
      <c r="I44" s="55" t="s">
        <v>411</v>
      </c>
      <c r="J44" s="38" t="s">
        <v>417</v>
      </c>
      <c r="K44" s="54" t="s">
        <v>65</v>
      </c>
      <c r="L44" s="38" t="s">
        <v>334</v>
      </c>
      <c r="M44" s="38" t="s">
        <v>93</v>
      </c>
      <c r="N44" s="23" t="s">
        <v>154</v>
      </c>
      <c r="O44" s="20" t="s">
        <v>510</v>
      </c>
      <c r="P44" s="55"/>
      <c r="Q44" s="20" t="s">
        <v>430</v>
      </c>
      <c r="R44" s="20" t="s">
        <v>431</v>
      </c>
      <c r="S44" s="19" t="s">
        <v>175</v>
      </c>
      <c r="T44" s="54"/>
      <c r="U44" s="54" t="s">
        <v>352</v>
      </c>
      <c r="V44" s="54" t="s">
        <v>417</v>
      </c>
      <c r="W44" s="55"/>
      <c r="X44" s="54" t="s">
        <v>76</v>
      </c>
      <c r="Y44" s="57" t="s">
        <v>76</v>
      </c>
      <c r="Z44" s="54" t="s">
        <v>76</v>
      </c>
      <c r="AA44" s="54" t="s">
        <v>76</v>
      </c>
      <c r="AB44" s="54" t="s">
        <v>422</v>
      </c>
      <c r="AC44" s="58"/>
      <c r="AD44" s="56"/>
    </row>
  </sheetData>
  <autoFilter ref="A3:A44" xr:uid="{00000000-0001-0000-0000-000000000000}"/>
  <mergeCells count="7">
    <mergeCell ref="U2:W2"/>
    <mergeCell ref="I2:M2"/>
    <mergeCell ref="F2:H2"/>
    <mergeCell ref="B1:AA1"/>
    <mergeCell ref="X2:AA2"/>
    <mergeCell ref="N2:T2"/>
    <mergeCell ref="B2:E2"/>
  </mergeCells>
  <phoneticPr fontId="22" type="noConversion"/>
  <hyperlinks>
    <hyperlink ref="I7" r:id="rId1" display="Acct Delivery Status Report: Delivery status " xr:uid="{E895FBF8-66AE-43CF-89CC-7E9D780C172E}"/>
    <hyperlink ref="I8:I9" r:id="rId2" display="Acct Delivery Status Report: Delivery status " xr:uid="{8B0AE724-1433-4A0A-A482-03CBBED1071C}"/>
    <hyperlink ref="I10" r:id="rId3" xr:uid="{DCB8C6B7-2AD1-43F2-81B0-CFA1C4B6E211}"/>
    <hyperlink ref="I7:I10" r:id="rId4" display="Acct Delivery Status Report: Milestone plan" xr:uid="{FEDE84B0-34AB-44BD-86F3-FBBAF2A83CD2}"/>
    <hyperlink ref="I11" r:id="rId5" xr:uid="{420A1203-4F14-46C5-8CE2-F13C2134DE0F}"/>
    <hyperlink ref="I16" r:id="rId6" xr:uid="{012D3CEF-82EE-4CCE-BFB6-73DEAC855A0C}"/>
    <hyperlink ref="I17:I24" r:id="rId7" display="Dynamics Timesheets BI" xr:uid="{17549B96-FB38-4E9B-AFF7-DAF79A162561}"/>
    <hyperlink ref="I35" r:id="rId8" xr:uid="{B1E59C8F-9AFD-43CC-B67D-A44296FB2FC4}"/>
    <hyperlink ref="I6" r:id="rId9" display="Acct Delivery Status Report: Delivery status " xr:uid="{BBE27274-3EDE-48BD-BD65-78117922E577}"/>
    <hyperlink ref="I6" r:id="rId10" xr:uid="{FF42E2BF-D5CE-4C69-9D1A-FBAC551F91DB}"/>
    <hyperlink ref="W29" r:id="rId11" xr:uid="{0C949BEB-920A-420E-8E20-804C8CD0E14D}"/>
    <hyperlink ref="I20" r:id="rId12" xr:uid="{F399E7C2-3362-40B0-9E7D-1B4D5D58FDBB}"/>
    <hyperlink ref="I21" r:id="rId13" xr:uid="{A2AB19CC-D406-4620-AC0A-EEBE0A25462D}"/>
    <hyperlink ref="I22" r:id="rId14" xr:uid="{239E6BD6-5B0F-4685-97DE-D32011A12AE3}"/>
  </hyperlinks>
  <pageMargins left="0.75" right="0.75" top="1" bottom="1" header="0.5" footer="0.5"/>
  <pageSetup paperSize="9" scale="23" fitToWidth="0" orientation="portrait" r:id="rId15"/>
  <legacyDrawing r:id="rId16"/>
  <tableParts count="1">
    <tablePart r:id="rId17"/>
  </tableParts>
  <extLst>
    <ext xmlns:x14="http://schemas.microsoft.com/office/spreadsheetml/2009/9/main" uri="{CCE6A557-97BC-4b89-ADB6-D9C93CAAB3DF}">
      <x14:dataValidations xmlns:xm="http://schemas.microsoft.com/office/excel/2006/main" count="1">
        <x14:dataValidation type="list" allowBlank="1" showInputMessage="1" showErrorMessage="1" xr:uid="{544507FF-4E3C-42AA-AB8E-710D0DE3F949}">
          <x14:formula1>
            <xm:f>Lists!$A$1:$A$5</xm:f>
          </x14:formula1>
          <xm:sqref>A4:A44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0"/>
  <sheetViews>
    <sheetView showGridLines="0" zoomScale="80" zoomScaleNormal="80" workbookViewId="0">
      <pane ySplit="3" topLeftCell="A4" activePane="bottomLeft" state="frozen"/>
      <selection pane="bottomLeft" activeCell="B49" sqref="B49"/>
    </sheetView>
  </sheetViews>
  <sheetFormatPr defaultRowHeight="14.45"/>
  <cols>
    <col min="1" max="1" width="9.7109375" style="8" customWidth="1"/>
    <col min="2" max="2" width="25.7109375" customWidth="1"/>
    <col min="3" max="3" width="14" customWidth="1"/>
    <col min="4" max="4" width="12" customWidth="1"/>
    <col min="5" max="6" width="51.7109375" customWidth="1"/>
    <col min="7" max="7" width="18" customWidth="1"/>
  </cols>
  <sheetData>
    <row r="1" spans="1:7">
      <c r="A1" s="93" t="s">
        <v>511</v>
      </c>
      <c r="B1" s="99"/>
      <c r="C1" s="99"/>
      <c r="D1" s="99"/>
      <c r="E1" s="99"/>
      <c r="F1" s="99"/>
      <c r="G1" s="99"/>
    </row>
    <row r="3" spans="1:7" ht="24">
      <c r="A3" s="59" t="s">
        <v>27</v>
      </c>
      <c r="B3" s="59" t="s">
        <v>28</v>
      </c>
      <c r="C3" s="59" t="s">
        <v>29</v>
      </c>
      <c r="D3" s="59" t="s">
        <v>512</v>
      </c>
      <c r="E3" s="59" t="s">
        <v>513</v>
      </c>
      <c r="F3" s="59" t="s">
        <v>514</v>
      </c>
      <c r="G3" s="59" t="s">
        <v>515</v>
      </c>
    </row>
    <row r="4" spans="1:7" ht="39.6">
      <c r="A4" s="43" t="str">
        <f>'Metric Catalogue'!B4</f>
        <v>1</v>
      </c>
      <c r="B4" s="36" t="str">
        <f>'Metric Catalogue'!C4</f>
        <v>Active Projects</v>
      </c>
      <c r="C4" s="37" t="str">
        <f>'Metric Catalogue'!D4</f>
        <v>Portfolio Snapshot</v>
      </c>
      <c r="D4" s="19" t="str">
        <f>'Metric Catalogue'!N4</f>
        <v>Y (partial)</v>
      </c>
      <c r="E4" s="60" t="str">
        <f>'Metric Catalogue'!O4  &amp;"  "&amp;  'Metric Catalogue'!P4</f>
        <v>Finance have a list of all projects  Extract from Dynamics</v>
      </c>
      <c r="F4" s="60" t="str">
        <f>'Metric Catalogue'!Q4  &amp;"  "&amp;  'Metric Catalogue'!R4</f>
        <v>Would need to count only active projects (e.g. remove managed svcs, etc.)  Filter extract to only counts active projects</v>
      </c>
      <c r="G4" s="23" t="str">
        <f>'Metric Catalogue'!S4</f>
        <v>High</v>
      </c>
    </row>
    <row r="5" spans="1:7" ht="39.6">
      <c r="A5" s="43" t="str">
        <f>'Metric Catalogue'!B5</f>
        <v>2</v>
      </c>
      <c r="B5" s="36" t="str">
        <f>'Metric Catalogue'!C5</f>
        <v>Active Clients</v>
      </c>
      <c r="C5" s="37" t="str">
        <f>'Metric Catalogue'!D5</f>
        <v>Portfolio Snapshot</v>
      </c>
      <c r="D5" s="19" t="str">
        <f>'Metric Catalogue'!N5</f>
        <v>Y (partial)</v>
      </c>
      <c r="E5" s="60" t="str">
        <f>'Metric Catalogue'!O5  &amp;"  "&amp;  'Metric Catalogue'!P5</f>
        <v>Finance have a list of all projects  Extract from Dynamics shows customer (Client)</v>
      </c>
      <c r="F5" s="60" t="str">
        <f>'Metric Catalogue'!Q5  &amp;"  "&amp;  'Metric Catalogue'!R5</f>
        <v>Would need to count only clients with a current active project(s) (e.g. remove managed svcs, etc.)  Filter extract to only counts clients with an active project(s)</v>
      </c>
      <c r="G5" s="23" t="str">
        <f>'Metric Catalogue'!S5</f>
        <v>High</v>
      </c>
    </row>
    <row r="6" spans="1:7" ht="39.6">
      <c r="A6" s="43" t="str">
        <f>'Metric Catalogue'!B6</f>
        <v>3</v>
      </c>
      <c r="B6" s="36" t="str">
        <f>'Metric Catalogue'!C6</f>
        <v>Overall RAG Status</v>
      </c>
      <c r="C6" s="37" t="str">
        <f>'Metric Catalogue'!D6</f>
        <v>Portfolio Snapshot</v>
      </c>
      <c r="D6" s="19" t="str">
        <f>'Metric Catalogue'!N6</f>
        <v>Y (partial)</v>
      </c>
      <c r="E6" s="60" t="str">
        <f>'Metric Catalogue'!O6  &amp;"  "&amp;  'Metric Catalogue'!P6</f>
        <v>PMs self-report RAG per project / acct; Portfolio Office analyses each report, validates. No Portfolio / overall RAG  Acct delivery weekly reports (.PPT)</v>
      </c>
      <c r="F6" s="60" t="str">
        <f>'Metric Catalogue'!Q6  &amp;"  "&amp;  'Metric Catalogue'!R6</f>
        <v>Currently no overall / portfolio RAG status  Need to apply portfolio / overall RAG criteria &amp; apply for all active projects</v>
      </c>
      <c r="G6" s="23" t="str">
        <f>'Metric Catalogue'!S6</f>
        <v>High</v>
      </c>
    </row>
    <row r="7" spans="1:7" ht="39.6">
      <c r="A7" s="43" t="str">
        <f>'Metric Catalogue'!B7</f>
        <v>4</v>
      </c>
      <c r="B7" s="36" t="str">
        <f>'Metric Catalogue'!C7</f>
        <v>Overall RAG — Red %</v>
      </c>
      <c r="C7" s="37" t="str">
        <f>'Metric Catalogue'!D7</f>
        <v>Portfolio Snapshot</v>
      </c>
      <c r="D7" s="19" t="str">
        <f>'Metric Catalogue'!N7</f>
        <v>Y (partial)</v>
      </c>
      <c r="E7" s="60" t="str">
        <f>'Metric Catalogue'!O7  &amp;"  "&amp;  'Metric Catalogue'!P7</f>
        <v>PMs self-report RAG per project / acct; Portfolio Office analyses each report, validates. No Portfolio / overall RAG  Acct delivery weekly reports (.PPT)</v>
      </c>
      <c r="F7" s="60" t="str">
        <f>'Metric Catalogue'!Q7  &amp;"  "&amp;  'Metric Catalogue'!R7</f>
        <v>Currently no overall / portfolio RAG status  Need to apply portfolio / overall RAG criteria &amp; apply for all active projects</v>
      </c>
      <c r="G7" s="23" t="str">
        <f>'Metric Catalogue'!S7</f>
        <v>High</v>
      </c>
    </row>
    <row r="8" spans="1:7" ht="39.6" customHeight="1">
      <c r="A8" s="43" t="str">
        <f>'Metric Catalogue'!B8</f>
        <v>5</v>
      </c>
      <c r="B8" s="36" t="str">
        <f>'Metric Catalogue'!C8</f>
        <v>Overall RAG — Amber %</v>
      </c>
      <c r="C8" s="37" t="str">
        <f>'Metric Catalogue'!D8</f>
        <v>Portfolio Snapshot</v>
      </c>
      <c r="D8" s="19" t="str">
        <f>'Metric Catalogue'!N8</f>
        <v>Y (partial)</v>
      </c>
      <c r="E8" s="60" t="str">
        <f>'Metric Catalogue'!O8  &amp;"  "&amp;  'Metric Catalogue'!P8</f>
        <v>PMs self-report RAG per project / acct; Portfolio Office analyses each report, validates. No Portfolio / overall RAG  Acct delivery weekly reports (.PPT)</v>
      </c>
      <c r="F8" s="60" t="str">
        <f>'Metric Catalogue'!Q8  &amp;"  "&amp;  'Metric Catalogue'!R8</f>
        <v>Currently no overall / portfolio RAG status  Need to apply portfolio / overall RAG criteria &amp; apply for all active projects</v>
      </c>
      <c r="G8" s="23" t="str">
        <f>'Metric Catalogue'!S8</f>
        <v>High</v>
      </c>
    </row>
    <row r="9" spans="1:7" ht="52.9" customHeight="1">
      <c r="A9" s="43" t="str">
        <f>'Metric Catalogue'!B9</f>
        <v>6</v>
      </c>
      <c r="B9" s="36" t="str">
        <f>'Metric Catalogue'!C9</f>
        <v>Overall RAG — Green %</v>
      </c>
      <c r="C9" s="37" t="str">
        <f>'Metric Catalogue'!D9</f>
        <v>Portfolio Snapshot</v>
      </c>
      <c r="D9" s="19" t="str">
        <f>'Metric Catalogue'!N9</f>
        <v>Y (partial)</v>
      </c>
      <c r="E9" s="60" t="str">
        <f>'Metric Catalogue'!O9  &amp;"  "&amp;  'Metric Catalogue'!P9</f>
        <v>PMs self-report RAG per project / acct; Portfolio Office analyses each report, validates. No Portfolio / overall RAG  Acct delivery weekly reports (.PPT)</v>
      </c>
      <c r="F9" s="60" t="str">
        <f>'Metric Catalogue'!Q9  &amp;"  "&amp;  'Metric Catalogue'!R9</f>
        <v>Currently no overall / portfolio RAG status  Need to apply portfolio / overall RAG criteria &amp; apply for all active projects</v>
      </c>
      <c r="G9" s="23" t="str">
        <f>'Metric Catalogue'!S9</f>
        <v>High</v>
      </c>
    </row>
    <row r="10" spans="1:7" ht="52.9" customHeight="1">
      <c r="A10" s="43" t="str">
        <f>'Metric Catalogue'!B10</f>
        <v>7</v>
      </c>
      <c r="B10" s="36" t="str">
        <f>'Metric Catalogue'!C10</f>
        <v>On Time %</v>
      </c>
      <c r="C10" s="37" t="str">
        <f>'Metric Catalogue'!D10</f>
        <v>Portfolio Snapshot</v>
      </c>
      <c r="D10" s="19" t="str">
        <f>'Metric Catalogue'!N10</f>
        <v>Y (partial)</v>
      </c>
      <c r="E10" s="60" t="str">
        <f>'Metric Catalogue'!O10  &amp;"  "&amp;  'Metric Catalogue'!P10</f>
        <v>PMs self-report milestones per project / acct; Portfolio Office analyses each report, validates. No Portfolio / overall % on time  Acct delivery weekly reports (.PPT)</v>
      </c>
      <c r="F10" s="60" t="str">
        <f>'Metric Catalogue'!Q10  &amp;"  "&amp;  'Metric Catalogue'!R10</f>
        <v>No standard milestone tracking tool or format across all PMs. Schedule data not consolidated.  Define standard milestone template; PMs update weekly; Portfolio Office validates &amp; consolidates at account review. Automate extraction via AI agent.</v>
      </c>
      <c r="G10" s="23" t="str">
        <f>'Metric Catalogue'!S10</f>
        <v>High</v>
      </c>
    </row>
    <row r="11" spans="1:7" ht="75" customHeight="1">
      <c r="A11" s="43" t="str">
        <f>'Metric Catalogue'!B11</f>
        <v>8</v>
      </c>
      <c r="B11" s="36" t="str">
        <f>'Metric Catalogue'!C11</f>
        <v>Projects Behind Schedule (count)</v>
      </c>
      <c r="C11" s="37" t="str">
        <f>'Metric Catalogue'!D11</f>
        <v>Portfolio Snapshot</v>
      </c>
      <c r="D11" s="19" t="str">
        <f>'Metric Catalogue'!N11</f>
        <v>Y (partial)</v>
      </c>
      <c r="E11" s="60" t="str">
        <f>'Metric Catalogue'!O11  &amp;"  "&amp;  'Metric Catalogue'!P11</f>
        <v>PMs self-report milestones per project / acct; Portfolio Office analyses each report, validates. No Portfolio / overall behind schedule count  Acct delivery weekly reports (.PPT)</v>
      </c>
      <c r="F11" s="60" t="str">
        <f>'Metric Catalogue'!Q11  &amp;"  "&amp;  'Metric Catalogue'!R11</f>
        <v>No standard milestone tracking tool or format across all PMs. Schedule data not consolidated.  Define standard milestone template; PMs update weekly; Portfolio Office validates &amp; consolidates at account review. Automate extraction via AI agent.</v>
      </c>
      <c r="G11" s="23" t="str">
        <f>'Metric Catalogue'!S11</f>
        <v>High</v>
      </c>
    </row>
    <row r="12" spans="1:7" ht="52.9" customHeight="1">
      <c r="A12" s="43" t="str">
        <f>'Metric Catalogue'!B12</f>
        <v>9</v>
      </c>
      <c r="B12" s="36" t="str">
        <f>'Metric Catalogue'!C12</f>
        <v>On Budget %</v>
      </c>
      <c r="C12" s="37" t="str">
        <f>'Metric Catalogue'!D12</f>
        <v>Portfolio Snapshot</v>
      </c>
      <c r="D12" s="23" t="str">
        <f>'Metric Catalogue'!N12</f>
        <v>N</v>
      </c>
      <c r="E12" s="60" t="str">
        <f>'Metric Catalogue'!O12  &amp;"  "&amp;  'Metric Catalogue'!P12</f>
        <v xml:space="preserve">Budget data held in Finance system but not linked to project register or dashboard. No standard budget tracker per project.  </v>
      </c>
      <c r="F12" s="60" t="str">
        <f>'Metric Catalogue'!Q12  &amp;"  "&amp;  'Metric Catalogue'!R12</f>
        <v>Actuals in Finance system; forecast held informally by PM. No single source. No automated consolidation.  Introduce standard project budget tracker (template). Finance to share actuals monthly. PM to update forecast. Portfolio Office to consolidate.</v>
      </c>
      <c r="G12" s="23" t="str">
        <f>'Metric Catalogue'!S12</f>
        <v>High</v>
      </c>
    </row>
    <row r="13" spans="1:7" ht="52.9" customHeight="1">
      <c r="A13" s="43" t="str">
        <f>'Metric Catalogue'!B13</f>
        <v>10</v>
      </c>
      <c r="B13" s="36" t="str">
        <f>'Metric Catalogue'!C13</f>
        <v>Projects Over Budget (count)</v>
      </c>
      <c r="C13" s="37" t="str">
        <f>'Metric Catalogue'!D13</f>
        <v>Portfolio Snapshot</v>
      </c>
      <c r="D13" s="23" t="str">
        <f>'Metric Catalogue'!N13</f>
        <v>N</v>
      </c>
      <c r="E13" s="60" t="str">
        <f>'Metric Catalogue'!O13  &amp;"  "&amp;  'Metric Catalogue'!P13</f>
        <v xml:space="preserve">Budget data held in Finance system but not linked to project register or dashboard. No standard budget tracker per project.  </v>
      </c>
      <c r="F13" s="60" t="str">
        <f>'Metric Catalogue'!Q13  &amp;"  "&amp;  'Metric Catalogue'!R13</f>
        <v>Actuals in Finance system; forecast held informally by PM. No single source. No automated consolidation.  Introduce standard project budget tracker (template). Finance to share actuals monthly. PM to update forecast. Portfolio Office to consolidate.</v>
      </c>
      <c r="G13" s="23" t="str">
        <f>'Metric Catalogue'!S13</f>
        <v>High</v>
      </c>
    </row>
    <row r="14" spans="1:7" ht="52.9" customHeight="1">
      <c r="A14" s="43" t="str">
        <f>'Metric Catalogue'!B14</f>
        <v>11</v>
      </c>
      <c r="B14" s="36" t="str">
        <f>'Metric Catalogue'!C14</f>
        <v>Resource Gaps Flagged</v>
      </c>
      <c r="C14" s="37" t="str">
        <f>'Metric Catalogue'!D14</f>
        <v>Portfolio Snapshot</v>
      </c>
      <c r="D14" s="19" t="str">
        <f>'Metric Catalogue'!N14</f>
        <v>Y (partial)</v>
      </c>
      <c r="E14" s="60" t="str">
        <f>'Metric Catalogue'!O14  &amp;"  "&amp;  'Metric Catalogue'!P14</f>
        <v>PMs flag resource gaps verbally in account reviews. Not formally tracked or logged.  Verbal account review notes</v>
      </c>
      <c r="F14" s="60" t="str">
        <f>'Metric Catalogue'!Q14  &amp;"  "&amp;  'Metric Catalogue'!R14</f>
        <v>Gaps flagged informally — no structured log or consistent criteria.  Add resource gap field to weekly PM status template. Log in project register. Alert Portfolio Office when flagged.</v>
      </c>
      <c r="G14" s="19" t="str">
        <f>'Metric Catalogue'!S14</f>
        <v>Medium</v>
      </c>
    </row>
    <row r="15" spans="1:7" ht="66" customHeight="1">
      <c r="A15" s="43" t="str">
        <f>'Metric Catalogue'!B15</f>
        <v>12</v>
      </c>
      <c r="B15" s="36" t="str">
        <f>'Metric Catalogue'!C15</f>
        <v>Client Satisfaction Score</v>
      </c>
      <c r="C15" s="37" t="str">
        <f>'Metric Catalogue'!D15</f>
        <v>Portfolio Snapshot</v>
      </c>
      <c r="D15" s="23" t="str">
        <f>'Metric Catalogue'!N15</f>
        <v>N</v>
      </c>
      <c r="E15" s="60" t="str">
        <f>'Metric Catalogue'!O15  &amp;"  "&amp;  'Metric Catalogue'!P15</f>
        <v xml:space="preserve">No formal client satisfaction process or survey tool in place.  </v>
      </c>
      <c r="F15" s="60" t="str">
        <f>'Metric Catalogue'!Q15  &amp;"  "&amp;  'Metric Catalogue'!R15</f>
        <v>CSAT not systematically collected. CPs have informal client sentiment but no structured data.  Define lightweight CSAT process (1–5 rating + comment at milestone/monthly). CP collects and logs. Portfolio Office aggregates.</v>
      </c>
      <c r="G15" s="23" t="str">
        <f>'Metric Catalogue'!S15</f>
        <v>High</v>
      </c>
    </row>
    <row r="16" spans="1:7" ht="66" customHeight="1">
      <c r="A16" s="43" t="str">
        <f>'Metric Catalogue'!B16</f>
        <v>13</v>
      </c>
      <c r="B16" s="36" t="str">
        <f>'Metric Catalogue'!C16</f>
        <v>Utilisation – UK (overall)</v>
      </c>
      <c r="C16" s="37" t="str">
        <f>'Metric Catalogue'!D16</f>
        <v>Resource &amp; Utilisation</v>
      </c>
      <c r="D16" s="19" t="str">
        <f>'Metric Catalogue'!N16</f>
        <v>Y (partial)</v>
      </c>
      <c r="E16" s="60" t="str">
        <f>'Metric Catalogue'!O16  &amp;"  "&amp;  'Metric Catalogue'!P16</f>
        <v>Timesheets saved weekly. BI report can separate UK &amp; IN users.  Dynamics Timesheets</v>
      </c>
      <c r="F16" s="60" t="str">
        <f>'Metric Catalogue'!Q16  &amp;"  "&amp;  'Metric Catalogue'!R16</f>
        <v>Currently report on current / past week &amp; month not rolling 4 weeks
Need to confirm the calculation with Saurabh  Build automated utilisation calculation from timesheet data; surface weekly in dashboard.</v>
      </c>
      <c r="G16" s="19" t="str">
        <f>'Metric Catalogue'!S16</f>
        <v>Medium</v>
      </c>
    </row>
    <row r="17" spans="1:7" ht="52.9" customHeight="1">
      <c r="A17" s="43" t="str">
        <f>'Metric Catalogue'!B17</f>
        <v>14</v>
      </c>
      <c r="B17" s="36" t="str">
        <f>'Metric Catalogue'!C17</f>
        <v>Utilisation – India (overall)</v>
      </c>
      <c r="C17" s="37" t="str">
        <f>'Metric Catalogue'!D17</f>
        <v>Resource &amp; Utilisation</v>
      </c>
      <c r="D17" s="19" t="str">
        <f>'Metric Catalogue'!N17</f>
        <v>Y (partial)</v>
      </c>
      <c r="E17" s="60" t="str">
        <f>'Metric Catalogue'!O17  &amp;"  "&amp;  'Metric Catalogue'!P17</f>
        <v>Timesheets saved weekly. BI report can separate UK &amp; IN users.  Dynamics Timesheets</v>
      </c>
      <c r="F17" s="60" t="str">
        <f>'Metric Catalogue'!Q17  &amp;"  "&amp;  'Metric Catalogue'!R17</f>
        <v>Currently report on current / past week &amp; month not rolling 4 weeks
Need to confirm the calculation with Saurabh  Build automated utilisation calculation from timesheet data; surface weekly in dashboard.</v>
      </c>
      <c r="G17" s="23" t="str">
        <f>'Metric Catalogue'!S17</f>
        <v>High</v>
      </c>
    </row>
    <row r="18" spans="1:7" ht="39.6" customHeight="1">
      <c r="A18" s="43" t="str">
        <f>'Metric Catalogue'!B18</f>
        <v>15</v>
      </c>
      <c r="B18" s="36" t="str">
        <f>'Metric Catalogue'!C18</f>
        <v>Utilisation – by Practice (Renewables &amp; Eng)</v>
      </c>
      <c r="C18" s="37" t="str">
        <f>'Metric Catalogue'!D18</f>
        <v>Resource &amp; Utilisation</v>
      </c>
      <c r="D18" s="23" t="str">
        <f>'Metric Catalogue'!N18</f>
        <v>N</v>
      </c>
      <c r="E18" s="60" t="str">
        <f>'Metric Catalogue'!O18  &amp;"  "&amp;  'Metric Catalogue'!P18</f>
        <v xml:space="preserve">  </v>
      </c>
      <c r="F18" s="60" t="str">
        <f>'Metric Catalogue'!Q18  &amp;"  "&amp;  'Metric Catalogue'!R18</f>
        <v>No practice-level tagging in timesheet or resource data. Cannot slice utilisation by practice.  Tag all resources with practice/sub-proposition in resource system. Build grouping logic in dashboard.</v>
      </c>
      <c r="G18" s="23" t="str">
        <f>'Metric Catalogue'!S18</f>
        <v>High</v>
      </c>
    </row>
    <row r="19" spans="1:7" ht="26.65" customHeight="1">
      <c r="A19" s="43" t="str">
        <f>'Metric Catalogue'!B19</f>
        <v>16</v>
      </c>
      <c r="B19" s="36" t="str">
        <f>'Metric Catalogue'!C19</f>
        <v>Utilisation – by Practice (Data Intelligence &amp; AI)</v>
      </c>
      <c r="C19" s="37" t="str">
        <f>'Metric Catalogue'!D19</f>
        <v>Resource &amp; Utilisation</v>
      </c>
      <c r="D19" s="23" t="str">
        <f>'Metric Catalogue'!N19</f>
        <v>N</v>
      </c>
      <c r="E19" s="60" t="str">
        <f>'Metric Catalogue'!O19  &amp;"  "&amp;  'Metric Catalogue'!P19</f>
        <v xml:space="preserve">  </v>
      </c>
      <c r="F19" s="60" t="str">
        <f>'Metric Catalogue'!Q19  &amp;"  "&amp;  'Metric Catalogue'!R19</f>
        <v>No practice-level tagging in timesheet or resource data. Cannot slice utilisation by practice.  Tag all resources with practice/sub-proposition in resource system. Build grouping logic in dashboard.</v>
      </c>
      <c r="G19" s="23" t="str">
        <f>'Metric Catalogue'!S19</f>
        <v>High</v>
      </c>
    </row>
    <row r="20" spans="1:7" ht="26.65" customHeight="1">
      <c r="A20" s="43" t="str">
        <f>'Metric Catalogue'!B20</f>
        <v>17</v>
      </c>
      <c r="B20" s="36" t="str">
        <f>'Metric Catalogue'!C20</f>
        <v>Utilisation – by Practice (Cyber Security)</v>
      </c>
      <c r="C20" s="37" t="str">
        <f>'Metric Catalogue'!D20</f>
        <v>Resource &amp; Utilisation</v>
      </c>
      <c r="D20" s="23" t="str">
        <f>'Metric Catalogue'!N20</f>
        <v>N</v>
      </c>
      <c r="E20" s="60" t="str">
        <f>'Metric Catalogue'!O20  &amp;"  "&amp;  'Metric Catalogue'!P20</f>
        <v xml:space="preserve">  </v>
      </c>
      <c r="F20" s="60" t="str">
        <f>'Metric Catalogue'!Q20  &amp;"  "&amp;  'Metric Catalogue'!R20</f>
        <v>No practice-level tagging in timesheet or resource data. Cannot slice utilisation by practice.  Tag all resources with practice/sub-proposition in resource system. Build grouping logic in dashboard.</v>
      </c>
      <c r="G20" s="23" t="str">
        <f>'Metric Catalogue'!S20</f>
        <v>High</v>
      </c>
    </row>
    <row r="21" spans="1:7" ht="52.9" customHeight="1">
      <c r="A21" s="43" t="str">
        <f>'Metric Catalogue'!B21</f>
        <v>18</v>
      </c>
      <c r="B21" s="36" t="str">
        <f>'Metric Catalogue'!C21</f>
        <v>Utilisation – by Practice (Apps &amp; Development)</v>
      </c>
      <c r="C21" s="37" t="str">
        <f>'Metric Catalogue'!D21</f>
        <v>Resource &amp; Utilisation</v>
      </c>
      <c r="D21" s="23" t="str">
        <f>'Metric Catalogue'!N21</f>
        <v>N</v>
      </c>
      <c r="E21" s="60" t="str">
        <f>'Metric Catalogue'!O21  &amp;"  "&amp;  'Metric Catalogue'!P21</f>
        <v xml:space="preserve">  </v>
      </c>
      <c r="F21" s="60" t="str">
        <f>'Metric Catalogue'!Q21  &amp;"  "&amp;  'Metric Catalogue'!R21</f>
        <v>No practice-level tagging in timesheet or resource data. Cannot slice utilisation by practice.  Tag all resources with practice/sub-proposition in resource system. Build grouping logic in dashboard.</v>
      </c>
      <c r="G21" s="23" t="str">
        <f>'Metric Catalogue'!S21</f>
        <v>High</v>
      </c>
    </row>
    <row r="22" spans="1:7" ht="52.9" customHeight="1">
      <c r="A22" s="43" t="str">
        <f>'Metric Catalogue'!B22</f>
        <v>19</v>
      </c>
      <c r="B22" s="36" t="str">
        <f>'Metric Catalogue'!C22</f>
        <v>Utilisation – by Practice (OT)</v>
      </c>
      <c r="C22" s="37" t="str">
        <f>'Metric Catalogue'!D22</f>
        <v>Resource &amp; Utilisation</v>
      </c>
      <c r="D22" s="23" t="str">
        <f>'Metric Catalogue'!N22</f>
        <v>N</v>
      </c>
      <c r="E22" s="60" t="str">
        <f>'Metric Catalogue'!O22  &amp;"  "&amp;  'Metric Catalogue'!P22</f>
        <v xml:space="preserve">  </v>
      </c>
      <c r="F22" s="60" t="str">
        <f>'Metric Catalogue'!Q22  &amp;"  "&amp;  'Metric Catalogue'!R22</f>
        <v>No practice-level tagging in timesheet or resource data. Cannot slice utilisation by practice.  Tag all resources with practice/sub-proposition in resource system. Build grouping logic in dashboard.</v>
      </c>
      <c r="G22" s="23" t="str">
        <f>'Metric Catalogue'!S22</f>
        <v>High</v>
      </c>
    </row>
    <row r="23" spans="1:7" ht="39.6" customHeight="1">
      <c r="A23" s="43" t="str">
        <f>'Metric Catalogue'!B23</f>
        <v>20</v>
      </c>
      <c r="B23" s="36" t="str">
        <f>'Metric Catalogue'!C23</f>
        <v>Unassigned Resources %</v>
      </c>
      <c r="C23" s="37" t="str">
        <f>'Metric Catalogue'!D23</f>
        <v>Resource &amp; Utilisation</v>
      </c>
      <c r="D23" s="24" t="str">
        <f>'Metric Catalogue'!N23</f>
        <v>Y</v>
      </c>
      <c r="E23" s="60" t="str">
        <f>'Metric Catalogue'!O23  &amp;"  "&amp;  'Metric Catalogue'!P23</f>
        <v>Users log time and select "Type" "unassigned"  Dynamics Timesheets</v>
      </c>
      <c r="F23" s="60" t="str">
        <f>'Metric Catalogue'!Q23  &amp;"  "&amp;  'Metric Catalogue'!R23</f>
        <v xml:space="preserve">  </v>
      </c>
      <c r="G23" s="23" t="str">
        <f>'Metric Catalogue'!S23</f>
        <v>High</v>
      </c>
    </row>
    <row r="24" spans="1:7" ht="39.6" customHeight="1">
      <c r="A24" s="43" t="str">
        <f>'Metric Catalogue'!B24</f>
        <v>21</v>
      </c>
      <c r="B24" s="36" t="str">
        <f>'Metric Catalogue'!C24</f>
        <v>Unbillable Resources %</v>
      </c>
      <c r="C24" s="37" t="str">
        <f>'Metric Catalogue'!D24</f>
        <v>Resource &amp; Utilisation</v>
      </c>
      <c r="D24" s="24" t="str">
        <f>'Metric Catalogue'!N24</f>
        <v>Y</v>
      </c>
      <c r="E24" s="60" t="str">
        <f>'Metric Catalogue'!O24  &amp;"  "&amp;  'Metric Catalogue'!P24</f>
        <v>Users log time against "Type" &amp; "Project"  Dynamics Timesheets</v>
      </c>
      <c r="F24" s="60" t="str">
        <f>'Metric Catalogue'!Q24  &amp;"  "&amp;  'Metric Catalogue'!R24</f>
        <v xml:space="preserve">  </v>
      </c>
      <c r="G24" s="19" t="str">
        <f>'Metric Catalogue'!S24</f>
        <v>Medium</v>
      </c>
    </row>
    <row r="25" spans="1:7" ht="111.6" customHeight="1">
      <c r="A25" s="43" t="str">
        <f>'Metric Catalogue'!B25</f>
        <v>22</v>
      </c>
      <c r="B25" s="36" t="str">
        <f>'Metric Catalogue'!C25</f>
        <v>Schedule RAG per Project</v>
      </c>
      <c r="C25" s="37" t="str">
        <f>'Metric Catalogue'!D25</f>
        <v>Delivery Health</v>
      </c>
      <c r="D25" s="19" t="str">
        <f>'Metric Catalogue'!N25</f>
        <v>Y (partial)</v>
      </c>
      <c r="E25" s="60" t="str">
        <f>'Metric Catalogue'!O25  &amp;"  "&amp;  'Metric Catalogue'!P25</f>
        <v xml:space="preserve">  </v>
      </c>
      <c r="F25" s="60" t="str">
        <f>'Metric Catalogue'!Q25  &amp;"  "&amp;  'Metric Catalogue'!R25</f>
        <v>Each PM uses different tools (Excel, MS Project, Jira). No baseline plan consistently maintained.  Mandate standard milestone plan template. PMs update weekly. RAG auto-calculated. Portfolio Office reviews in account review.</v>
      </c>
      <c r="G25" s="23" t="str">
        <f>'Metric Catalogue'!S25</f>
        <v>High</v>
      </c>
    </row>
    <row r="26" spans="1:7" ht="39.6" customHeight="1">
      <c r="A26" s="43" t="str">
        <f>'Metric Catalogue'!B26</f>
        <v>23</v>
      </c>
      <c r="B26" s="36" t="str">
        <f>'Metric Catalogue'!C26</f>
        <v>Target Margin RAG per Project</v>
      </c>
      <c r="C26" s="37" t="str">
        <f>'Metric Catalogue'!D26</f>
        <v>Delivery Health</v>
      </c>
      <c r="D26" s="23" t="str">
        <f>'Metric Catalogue'!N26</f>
        <v>N</v>
      </c>
      <c r="E26" s="60" t="str">
        <f>'Metric Catalogue'!O26  &amp;"  "&amp;  'Metric Catalogue'!P26</f>
        <v xml:space="preserve">  </v>
      </c>
      <c r="F26" s="60" t="str">
        <f>'Metric Catalogue'!Q26  &amp;"  "&amp;  'Metric Catalogue'!R26</f>
        <v>Actuals in Finance system; forecast held informally by PM. No single source. No automated consolidation.  Introduce standard project budget tracker (template). Finance to share actuals monthly. PM to update forecast. Portfolio Office to consolidate.</v>
      </c>
      <c r="G26" s="23" t="str">
        <f>'Metric Catalogue'!S26</f>
        <v>High</v>
      </c>
    </row>
    <row r="27" spans="1:7" ht="39.6" customHeight="1">
      <c r="A27" s="43" t="str">
        <f>'Metric Catalogue'!B27</f>
        <v>24</v>
      </c>
      <c r="B27" s="36" t="str">
        <f>'Metric Catalogue'!C27</f>
        <v>Resource RAG per Project</v>
      </c>
      <c r="C27" s="37" t="str">
        <f>'Metric Catalogue'!D27</f>
        <v>Delivery Health</v>
      </c>
      <c r="D27" s="19" t="str">
        <f>'Metric Catalogue'!N27</f>
        <v>Y (partial)</v>
      </c>
      <c r="E27" s="60" t="str">
        <f>'Metric Catalogue'!O27  &amp;"  "&amp;  'Metric Catalogue'!P27</f>
        <v>PMs informally assess resource health. Not formally documented or logged against criteria.  Verbal PM update</v>
      </c>
      <c r="F27" s="60" t="str">
        <f>'Metric Catalogue'!Q27  &amp;"  "&amp;  'Metric Catalogue'!R27</f>
        <v>No formal resource requirement plan per project to compare against.  Define standard resource plan template per project. PM assesses weekly against criteria. Log in project register.</v>
      </c>
      <c r="G27" s="19" t="str">
        <f>'Metric Catalogue'!S27</f>
        <v>Medium</v>
      </c>
    </row>
    <row r="28" spans="1:7" ht="26.65" customHeight="1">
      <c r="A28" s="43" t="str">
        <f>'Metric Catalogue'!B28</f>
        <v>25</v>
      </c>
      <c r="B28" s="36" t="str">
        <f>'Metric Catalogue'!C28</f>
        <v>Scope RAG per Project</v>
      </c>
      <c r="C28" s="37" t="str">
        <f>'Metric Catalogue'!D28</f>
        <v>Delivery Health</v>
      </c>
      <c r="D28" s="23" t="str">
        <f>'Metric Catalogue'!N28</f>
        <v>N</v>
      </c>
      <c r="E28" s="60" t="str">
        <f>'Metric Catalogue'!O28  &amp;"  "&amp;  'Metric Catalogue'!P28</f>
        <v xml:space="preserve">Change log and scope baseline not maintained consistently across projects.  </v>
      </c>
      <c r="F28" s="60" t="str">
        <f>'Metric Catalogue'!Q28  &amp;"  "&amp;  'Metric Catalogue'!R28</f>
        <v>No standard change log or scope baseline documentation per active project.  Mandate scope baseline document and change log per active project. PM updates weekly. RAG assessed against criteria.</v>
      </c>
      <c r="G28" s="23" t="str">
        <f>'Metric Catalogue'!S28</f>
        <v>High</v>
      </c>
    </row>
    <row r="29" spans="1:7" ht="39.6" customHeight="1">
      <c r="A29" s="43" t="str">
        <f>'Metric Catalogue'!B29</f>
        <v>26</v>
      </c>
      <c r="B29" s="36" t="str">
        <f>'Metric Catalogue'!C29</f>
        <v>Open Risks per Project</v>
      </c>
      <c r="C29" s="37" t="str">
        <f>'Metric Catalogue'!D29</f>
        <v>Delivery Health</v>
      </c>
      <c r="D29" s="19" t="str">
        <f>'Metric Catalogue'!N29</f>
        <v>Y (partial)</v>
      </c>
      <c r="E29" s="60" t="str">
        <f>'Metric Catalogue'!O29  &amp;"  "&amp;  'Metric Catalogue'!P29</f>
        <v xml:space="preserve">Risk logs exist informally per PM but no standard format and no consolidated view.  </v>
      </c>
      <c r="F29" s="60" t="str">
        <f>'Metric Catalogue'!Q29  &amp;"  "&amp;  'Metric Catalogue'!R29</f>
        <v>No standard risk register template or consolidated risk log. No consistent severity rating scale.  Define standard risk register template with probability/impact scoring. PMs update weekly. Portfolio Office consolidates and surfaces High risks.</v>
      </c>
      <c r="G29" s="23" t="str">
        <f>'Metric Catalogue'!S29</f>
        <v>High</v>
      </c>
    </row>
    <row r="30" spans="1:7" ht="52.9" customHeight="1">
      <c r="A30" s="43" t="str">
        <f>'Metric Catalogue'!B30</f>
        <v>27</v>
      </c>
      <c r="B30" s="36" t="str">
        <f>'Metric Catalogue'!C30</f>
        <v>Open Issues per Project</v>
      </c>
      <c r="C30" s="37" t="str">
        <f>'Metric Catalogue'!D30</f>
        <v>Delivery Health</v>
      </c>
      <c r="D30" s="19" t="str">
        <f>'Metric Catalogue'!N30</f>
        <v>Y (partial)</v>
      </c>
      <c r="E30" s="60" t="str">
        <f>'Metric Catalogue'!O30  &amp;"  "&amp;  'Metric Catalogue'!P30</f>
        <v xml:space="preserve">Issues not formally tracked. Raised verbally in account reviews but not logged.  </v>
      </c>
      <c r="F30" s="60" t="str">
        <f>'Metric Catalogue'!Q30  &amp;"  "&amp;  'Metric Catalogue'!R30</f>
        <v>No standard issue log. Issues not differentiated from risks.  Define and mandate issue log (separate from risk log). PMs update weekly. Portfolio Office consolidates.</v>
      </c>
      <c r="G30" s="23" t="str">
        <f>'Metric Catalogue'!S30</f>
        <v>High</v>
      </c>
    </row>
    <row r="31" spans="1:7" ht="26.65" customHeight="1">
      <c r="A31" s="43" t="str">
        <f>'Metric Catalogue'!B31</f>
        <v>28</v>
      </c>
      <c r="B31" s="36" t="str">
        <f>'Metric Catalogue'!C31</f>
        <v>Total Portfolio Value</v>
      </c>
      <c r="C31" s="37" t="str">
        <f>'Metric Catalogue'!D31</f>
        <v>Commercial</v>
      </c>
      <c r="D31" s="24" t="str">
        <f>'Metric Catalogue'!N31</f>
        <v>Y</v>
      </c>
      <c r="E31" s="60" t="str">
        <f>'Metric Catalogue'!O31  &amp;"  "&amp;  'Metric Catalogue'!P31</f>
        <v>Existing Finance process included in the Month End pack  Zen X + Finance system</v>
      </c>
      <c r="F31" s="60" t="str">
        <f>'Metric Catalogue'!Q31  &amp;"  "&amp;  'Metric Catalogue'!R31</f>
        <v xml:space="preserve">  </v>
      </c>
      <c r="G31" s="19" t="str">
        <f>'Metric Catalogue'!S31</f>
        <v>Medium</v>
      </c>
    </row>
    <row r="32" spans="1:7" ht="52.9" customHeight="1">
      <c r="A32" s="43" t="str">
        <f>'Metric Catalogue'!B32</f>
        <v>29</v>
      </c>
      <c r="B32" s="36" t="str">
        <f>'Metric Catalogue'!C32</f>
        <v>Revenue Recognised MTD</v>
      </c>
      <c r="C32" s="37" t="str">
        <f>'Metric Catalogue'!D32</f>
        <v>Commercial</v>
      </c>
      <c r="D32" s="24" t="str">
        <f>'Metric Catalogue'!N32</f>
        <v>Y</v>
      </c>
      <c r="E32" s="60" t="str">
        <f>'Metric Catalogue'!O32  &amp;"  "&amp;  'Metric Catalogue'!P32</f>
        <v>Finance recognises revenue monthly per project. Data exists but not surfaced in dashboard.  Finance accounting system &amp; spreadsheets</v>
      </c>
      <c r="F32" s="60" t="str">
        <f>'Metric Catalogue'!Q32  &amp;"  "&amp;  'Metric Catalogue'!R32</f>
        <v xml:space="preserve">  </v>
      </c>
      <c r="G32" s="19" t="str">
        <f>'Metric Catalogue'!S32</f>
        <v>Medium</v>
      </c>
    </row>
    <row r="33" spans="1:7" ht="39.6" customHeight="1">
      <c r="A33" s="43" t="str">
        <f>'Metric Catalogue'!B33</f>
        <v>30</v>
      </c>
      <c r="B33" s="36" t="str">
        <f>'Metric Catalogue'!C33</f>
        <v>Revenue vs Plan Variance</v>
      </c>
      <c r="C33" s="37" t="str">
        <f>'Metric Catalogue'!D33</f>
        <v>Commercial</v>
      </c>
      <c r="D33" s="24" t="str">
        <f>'Metric Catalogue'!N33</f>
        <v>Y</v>
      </c>
      <c r="E33" s="60" t="str">
        <f>'Metric Catalogue'!O33  &amp;"  "&amp;  'Metric Catalogue'!P33</f>
        <v>Existing Finance process included in the Month End pack  Finance accounting system &amp; spreadsheets</v>
      </c>
      <c r="F33" s="60" t="str">
        <f>'Metric Catalogue'!Q33  &amp;"  "&amp;  'Metric Catalogue'!R33</f>
        <v xml:space="preserve">  Finance to produce monthly revenue plan at project level. Portfolio Office consolidates. Compare to actuals monthly.</v>
      </c>
      <c r="G33" s="23" t="str">
        <f>'Metric Catalogue'!S33</f>
        <v>High</v>
      </c>
    </row>
    <row r="34" spans="1:7" ht="39.6" customHeight="1">
      <c r="A34" s="43" t="str">
        <f>'Metric Catalogue'!B34</f>
        <v>31</v>
      </c>
      <c r="B34" s="36" t="str">
        <f>'Metric Catalogue'!C34</f>
        <v>Average Project Margin %</v>
      </c>
      <c r="C34" s="37" t="str">
        <f>'Metric Catalogue'!D34</f>
        <v>Commercial</v>
      </c>
      <c r="D34" s="24" t="str">
        <f>'Metric Catalogue'!N34</f>
        <v>Y</v>
      </c>
      <c r="E34" s="60" t="str">
        <f>'Metric Catalogue'!O34  &amp;"  "&amp;  'Metric Catalogue'!P34</f>
        <v>Existing Finance process included in the Month End pack  Finance accounting system &amp; spreadsheets</v>
      </c>
      <c r="F34" s="60" t="str">
        <f>'Metric Catalogue'!Q34  &amp;"  "&amp;  'Metric Catalogue'!R34</f>
        <v xml:space="preserve">  Finance to produce per-project margin statement monthly. Portfolio Office aggregates. Dashboard shows average and per-project.</v>
      </c>
      <c r="G34" s="23" t="str">
        <f>'Metric Catalogue'!S34</f>
        <v>High</v>
      </c>
    </row>
    <row r="35" spans="1:7" ht="39.6" customHeight="1">
      <c r="A35" s="43" t="str">
        <f>'Metric Catalogue'!B35</f>
        <v>32</v>
      </c>
      <c r="B35" s="36" t="str">
        <f>'Metric Catalogue'!C35</f>
        <v>Billable Utilisation %</v>
      </c>
      <c r="C35" s="37" t="str">
        <f>'Metric Catalogue'!D35</f>
        <v>Commercial</v>
      </c>
      <c r="D35" s="19" t="str">
        <f>'Metric Catalogue'!N35</f>
        <v>Y (partial)</v>
      </c>
      <c r="E35" s="60" t="str">
        <f>'Metric Catalogue'!O35  &amp;"  "&amp;  'Metric Catalogue'!P35</f>
        <v>Timesheets saved weekly. BI report can separate UK &amp; IN users.  Dynamics Timesheets</v>
      </c>
      <c r="F35" s="60" t="str">
        <f>'Metric Catalogue'!Q35  &amp;"  "&amp;  'Metric Catalogue'!R35</f>
        <v xml:space="preserve">  </v>
      </c>
      <c r="G35" s="23" t="str">
        <f>'Metric Catalogue'!S35</f>
        <v>High</v>
      </c>
    </row>
    <row r="36" spans="1:7" ht="52.9" customHeight="1">
      <c r="A36" s="43" t="str">
        <f>'Metric Catalogue'!B36</f>
        <v>33</v>
      </c>
      <c r="B36" s="36" t="str">
        <f>'Metric Catalogue'!C36</f>
        <v>Win Rate (6-month rolling)</v>
      </c>
      <c r="C36" s="37" t="str">
        <f>'Metric Catalogue'!D36</f>
        <v>Commercial</v>
      </c>
      <c r="D36" s="23" t="str">
        <f>'Metric Catalogue'!N36</f>
        <v>N</v>
      </c>
      <c r="E36" s="60" t="str">
        <f>'Metric Catalogue'!O36  &amp;"  "&amp;  'Metric Catalogue'!P36</f>
        <v xml:space="preserve">Win/loss data not consistently logged in Zen X. Tracked informally by CPs.  </v>
      </c>
      <c r="F36" s="60" t="str">
        <f>'Metric Catalogue'!Q36  &amp;"  "&amp;  'Metric Catalogue'!R36</f>
        <v>Pitches and outcomes not systematically recorded. No Zen X discipline enforced.  Mandate CP updates Zen X at each stage: pitched, won, lost. Define 'pitched' (formal proposal submitted). Portfolio Office extracts monthly.</v>
      </c>
      <c r="G36" s="23" t="str">
        <f>'Metric Catalogue'!S36</f>
        <v>High</v>
      </c>
    </row>
    <row r="37" spans="1:7" ht="145.15" customHeight="1">
      <c r="A37" s="43" t="str">
        <f>'Metric Catalogue'!B37</f>
        <v>34</v>
      </c>
      <c r="B37" s="36" t="str">
        <f>'Metric Catalogue'!C37</f>
        <v>Pipeline Value</v>
      </c>
      <c r="C37" s="37" t="str">
        <f>'Metric Catalogue'!D37</f>
        <v>Commercial</v>
      </c>
      <c r="D37" s="23" t="str">
        <f>'Metric Catalogue'!N37</f>
        <v>N</v>
      </c>
      <c r="E37" s="60" t="str">
        <f>'Metric Catalogue'!O37  &amp;"  "&amp;  'Metric Catalogue'!P37</f>
        <v xml:space="preserve">Zen X not consistently used by all CPs. Pipeline values not reliably maintained.  </v>
      </c>
      <c r="F37" s="60" t="str">
        <f>'Metric Catalogue'!Q37  &amp;"  "&amp;  'Metric Catalogue'!R37</f>
        <v>Zen X hygiene is inconsistent. Pipeline value not a reliable source of truth.  Enforce Zen X pipeline hygiene standard. Weekly CP pipeline review. Portfolio Office extracts pipeline value each Friday.</v>
      </c>
      <c r="G37" s="23" t="str">
        <f>'Metric Catalogue'!S37</f>
        <v>High</v>
      </c>
    </row>
    <row r="38" spans="1:7" ht="26.65" customHeight="1">
      <c r="A38" s="43" t="str">
        <f>'Metric Catalogue'!B38</f>
        <v>35</v>
      </c>
      <c r="B38" s="36" t="str">
        <f>'Metric Catalogue'!C38</f>
        <v>Repeat Business Rate %</v>
      </c>
      <c r="C38" s="37" t="str">
        <f>'Metric Catalogue'!D38</f>
        <v>Commercial</v>
      </c>
      <c r="D38" s="23" t="str">
        <f>'Metric Catalogue'!N38</f>
        <v>N</v>
      </c>
      <c r="E38" s="60" t="str">
        <f>'Metric Catalogue'!O38  &amp;"  "&amp;  'Metric Catalogue'!P38</f>
        <v xml:space="preserve">Repeat vs new business not formally categorised in Zen X or Finance.  </v>
      </c>
      <c r="F38" s="60" t="str">
        <f>'Metric Catalogue'!Q38  &amp;"  "&amp;  'Metric Catalogue'!R38</f>
        <v>No field in Zen X or project register to flag new vs repeat client engagement.  Add New vs Repeat flag to project register and Zen X. CP confirms at kick-off. Finance validates.</v>
      </c>
      <c r="G38" s="19" t="str">
        <f>'Metric Catalogue'!S38</f>
        <v>Medium</v>
      </c>
    </row>
    <row r="39" spans="1:7" ht="42.4" customHeight="1">
      <c r="A39" s="43" t="str">
        <f>'Metric Catalogue'!B39</f>
        <v>36</v>
      </c>
      <c r="B39" s="36" t="str">
        <f>'Metric Catalogue'!C39</f>
        <v>Average Days to Contract</v>
      </c>
      <c r="C39" s="37" t="str">
        <f>'Metric Catalogue'!D39</f>
        <v>Commercial</v>
      </c>
      <c r="D39" s="23" t="str">
        <f>'Metric Catalogue'!N39</f>
        <v>N</v>
      </c>
      <c r="E39" s="60" t="str">
        <f>'Metric Catalogue'!O39  &amp;"  "&amp;  'Metric Catalogue'!P39</f>
        <v xml:space="preserve">Contract dates not consistently logged in Zen X. Legal/procurement cycle not tracked.  </v>
      </c>
      <c r="F39" s="60" t="str">
        <f>'Metric Catalogue'!Q39  &amp;"  "&amp;  'Metric Catalogue'!R39</f>
        <v>No systematic tracking of bid-to-contract timeline.  Log bid submission date and contract signed date in Zen X for all opportunities. Calculate automatically.</v>
      </c>
      <c r="G39" s="19" t="str">
        <f>'Metric Catalogue'!S39</f>
        <v>Medium</v>
      </c>
    </row>
    <row r="40" spans="1:7" ht="61.15" customHeight="1">
      <c r="A40" s="43" t="str">
        <f>'Metric Catalogue'!B40</f>
        <v>37</v>
      </c>
      <c r="B40" s="36" t="str">
        <f>'Metric Catalogue'!C40</f>
        <v>Planned vs Actual Invoicing</v>
      </c>
      <c r="C40" s="37" t="str">
        <f>'Metric Catalogue'!D40</f>
        <v>Commercial</v>
      </c>
      <c r="D40" s="23" t="str">
        <f>'Metric Catalogue'!N40</f>
        <v>N</v>
      </c>
      <c r="E40" s="60" t="str">
        <f>'Metric Catalogue'!O40  &amp;"  "&amp;  'Metric Catalogue'!P40</f>
        <v xml:space="preserve">  </v>
      </c>
      <c r="F40" s="60" t="str">
        <f>'Metric Catalogue'!Q40  &amp;"  "&amp;  'Metric Catalogue'!R40</f>
        <v>No invoice schedule is formally documented at project level. Invoicing is tracked in the Finance system but not compared against a planned schedule. No consolidated portfolio-level invoicing view exists.  1. Mandate CP/Finance to document an invoice schedule (date, milestone trigger, expected value) at active project kick-off. 2. Finance records actuals in the same tracker post-invoice. 3. Portfolio Office consolidates monthly. 4. Surface planned vs actual in dashboard with RAG: Green ≤±5%, Amber 6–15%, Red &gt;15% or invoice missed entirely.</v>
      </c>
      <c r="G40" s="23" t="str">
        <f>'Metric Catalogue'!S40</f>
        <v>High</v>
      </c>
    </row>
    <row r="41" spans="1:7" ht="61.15" customHeight="1">
      <c r="A41" s="43" t="str">
        <f>'Metric Catalogue'!B41</f>
        <v>38</v>
      </c>
      <c r="B41" s="36" t="str">
        <f>'Metric Catalogue'!C41</f>
        <v>Gross Margin £ (per project and portfolio)</v>
      </c>
      <c r="C41" s="37" t="str">
        <f>'Metric Catalogue'!D41</f>
        <v>Commercial</v>
      </c>
      <c r="D41" s="24" t="str">
        <f>'Metric Catalogue'!N41</f>
        <v>Y</v>
      </c>
      <c r="E41" s="60" t="str">
        <f>'Metric Catalogue'!O41  &amp;"  "&amp;  'Metric Catalogue'!P41</f>
        <v xml:space="preserve">  Finance accounting system &amp; spreadsheets</v>
      </c>
      <c r="F41" s="60" t="str">
        <f>'Metric Catalogue'!Q41  &amp;"  "&amp;  'Metric Catalogue'!R41</f>
        <v xml:space="preserve">  </v>
      </c>
      <c r="G41" s="23" t="str">
        <f>'Metric Catalogue'!S41</f>
        <v>High</v>
      </c>
    </row>
    <row r="42" spans="1:7" ht="46.9" customHeight="1">
      <c r="A42" s="43" t="str">
        <f>'Metric Catalogue'!B42</f>
        <v>39</v>
      </c>
      <c r="B42" s="36" t="str">
        <f>'Metric Catalogue'!C42</f>
        <v>Escalations and decisions required per project</v>
      </c>
      <c r="C42" s="37" t="str">
        <f>'Metric Catalogue'!D42</f>
        <v>Delivery Health</v>
      </c>
      <c r="D42" s="24" t="str">
        <f>'Metric Catalogue'!N42</f>
        <v>Y</v>
      </c>
      <c r="E42" s="60" t="str">
        <f>'Metric Catalogue'!O42  &amp;"  "&amp;  'Metric Catalogue'!P42</f>
        <v>PMs self-report escalations / decisions needed per project / acct; Portfolio Office analyses each report, validates.   Acct delivery weekly reports (.PPT)</v>
      </c>
      <c r="F42" s="60" t="str">
        <f>'Metric Catalogue'!Q42  &amp;"  "&amp;  'Metric Catalogue'!R42</f>
        <v xml:space="preserve">  </v>
      </c>
      <c r="G42" s="23" t="str">
        <f>'Metric Catalogue'!S42</f>
        <v>High</v>
      </c>
    </row>
    <row r="43" spans="1:7" ht="71.45" customHeight="1">
      <c r="A43" s="43" t="str">
        <f>'Metric Catalogue'!B43</f>
        <v>40</v>
      </c>
      <c r="B43" s="36" t="str">
        <f>'Metric Catalogue'!C43</f>
        <v>Cost RAG per project</v>
      </c>
      <c r="C43" s="37" t="str">
        <f>'Metric Catalogue'!D43</f>
        <v>Delivery Health</v>
      </c>
      <c r="D43" s="23" t="str">
        <f>'Metric Catalogue'!N43</f>
        <v>N</v>
      </c>
      <c r="E43" s="60" t="str">
        <f>'Metric Catalogue'!O43  &amp;"  "&amp;  'Metric Catalogue'!P43</f>
        <v xml:space="preserve">  </v>
      </c>
      <c r="F43" s="60" t="str">
        <f>'Metric Catalogue'!Q43  &amp;"  "&amp;  'Metric Catalogue'!R43</f>
        <v>Actuals in Finance system; forecast held informally by PM. No single source. No automated consolidation.  Introduce standard project budget tracker (template). Finance to share actuals monthly. PM to update forecast. Portfolio Office to consolidate.</v>
      </c>
      <c r="G43" s="23" t="str">
        <f>'Metric Catalogue'!S43</f>
        <v>High</v>
      </c>
    </row>
    <row r="44" spans="1:7" ht="52.9">
      <c r="A44" s="43" t="str">
        <f>'Metric Catalogue'!B44</f>
        <v>41</v>
      </c>
      <c r="B44" s="36" t="str">
        <f>'Metric Catalogue'!C44</f>
        <v>Deals &gt; 4 months in the pipeline</v>
      </c>
      <c r="C44" s="37" t="str">
        <f>'Metric Catalogue'!D44</f>
        <v>Commercial</v>
      </c>
      <c r="D44" s="23" t="str">
        <f>'Metric Catalogue'!N44</f>
        <v>N</v>
      </c>
      <c r="E44" s="60" t="str">
        <f>'Metric Catalogue'!O44  &amp;"  "&amp;  'Metric Catalogue'!P44</f>
        <v xml:space="preserve">Zn X not consistently used by all CPs. Pipeline values not reliably maintained.  </v>
      </c>
      <c r="F44" s="60" t="str">
        <f>'Metric Catalogue'!Q44  &amp;"  "&amp;  'Metric Catalogue'!R44</f>
        <v>Zen X hygiene is inconsistent. Pipeline value not a reliable source of truth.  Enforce Zen X pipeline hygiene standard. Weekly CP pipeline review. Portfolio Office extracts pipeline value each Friday.</v>
      </c>
      <c r="G44" s="19" t="str">
        <f>'Metric Catalogue'!S44</f>
        <v>Medium</v>
      </c>
    </row>
    <row r="45" spans="1:7" s="72" customFormat="1">
      <c r="A45" s="66"/>
      <c r="B45" s="67"/>
      <c r="C45" s="68"/>
      <c r="D45" s="69"/>
      <c r="E45" s="70"/>
      <c r="F45" s="70"/>
      <c r="G45" s="71"/>
    </row>
    <row r="46" spans="1:7" s="72" customFormat="1">
      <c r="A46" s="24" t="s">
        <v>260</v>
      </c>
      <c r="B46" s="24">
        <v>8</v>
      </c>
      <c r="C46" s="73">
        <f>B46/B49</f>
        <v>0.1951219512195122</v>
      </c>
      <c r="D46" s="69"/>
      <c r="E46" s="70"/>
      <c r="F46" s="70"/>
      <c r="G46" s="71"/>
    </row>
    <row r="47" spans="1:7" s="72" customFormat="1">
      <c r="A47" s="23" t="s">
        <v>154</v>
      </c>
      <c r="B47" s="23">
        <v>17</v>
      </c>
      <c r="C47" s="74">
        <f>B47/B50</f>
        <v>0.41463414634146339</v>
      </c>
      <c r="D47" s="69"/>
      <c r="E47" s="70"/>
      <c r="F47" s="70"/>
      <c r="G47" s="71"/>
    </row>
    <row r="48" spans="1:7">
      <c r="A48" s="7" t="s">
        <v>68</v>
      </c>
      <c r="B48" s="48">
        <v>16</v>
      </c>
      <c r="C48" s="75">
        <f>B48/B49</f>
        <v>0.3902439024390244</v>
      </c>
    </row>
    <row r="49" spans="1:3">
      <c r="A49" s="52" t="s">
        <v>516</v>
      </c>
      <c r="B49" s="49">
        <f>SUM(B43:B48)</f>
        <v>41</v>
      </c>
      <c r="C49" s="49"/>
    </row>
    <row r="50" spans="1:3">
      <c r="A50" s="53" t="s">
        <v>517</v>
      </c>
      <c r="B50" s="49">
        <f>COUNTA(A4:A44)</f>
        <v>41</v>
      </c>
      <c r="C50" s="49"/>
    </row>
  </sheetData>
  <autoFilter ref="A3:G50" xr:uid="{00000000-0001-0000-0100-000000000000}"/>
  <mergeCells count="1">
    <mergeCell ref="A1:G1"/>
  </mergeCells>
  <phoneticPr fontId="2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9"/>
  <sheetViews>
    <sheetView showGridLines="0" workbookViewId="0">
      <selection activeCell="F6" sqref="F6"/>
    </sheetView>
  </sheetViews>
  <sheetFormatPr defaultRowHeight="14.45"/>
  <cols>
    <col min="1" max="1" width="28" customWidth="1"/>
    <col min="2" max="2" width="70" customWidth="1"/>
  </cols>
  <sheetData>
    <row r="1" spans="1:2">
      <c r="A1" s="93" t="s">
        <v>518</v>
      </c>
      <c r="B1" s="99"/>
    </row>
    <row r="2" spans="1:2" ht="8.1" customHeight="1"/>
    <row r="3" spans="1:2">
      <c r="A3" s="94" t="s">
        <v>519</v>
      </c>
      <c r="B3" s="100"/>
    </row>
    <row r="4" spans="1:2" ht="30" customHeight="1">
      <c r="A4" s="1" t="s">
        <v>28</v>
      </c>
      <c r="B4" s="2" t="s">
        <v>520</v>
      </c>
    </row>
    <row r="5" spans="1:2" ht="30" customHeight="1">
      <c r="A5" s="4" t="s">
        <v>29</v>
      </c>
      <c r="B5" s="5" t="s">
        <v>521</v>
      </c>
    </row>
    <row r="6" spans="1:2" ht="30" customHeight="1">
      <c r="A6" s="1" t="s">
        <v>30</v>
      </c>
      <c r="B6" s="2" t="s">
        <v>522</v>
      </c>
    </row>
    <row r="7" spans="1:2" ht="30" customHeight="1">
      <c r="A7" s="4" t="s">
        <v>31</v>
      </c>
      <c r="B7" s="5" t="s">
        <v>523</v>
      </c>
    </row>
    <row r="8" spans="1:2" ht="30" customHeight="1">
      <c r="A8" s="1" t="s">
        <v>32</v>
      </c>
      <c r="B8" s="2" t="s">
        <v>524</v>
      </c>
    </row>
    <row r="9" spans="1:2" ht="30" customHeight="1">
      <c r="A9" s="4" t="s">
        <v>33</v>
      </c>
      <c r="B9" s="5" t="s">
        <v>525</v>
      </c>
    </row>
    <row r="10" spans="1:2" ht="30" customHeight="1">
      <c r="A10" s="1" t="s">
        <v>34</v>
      </c>
      <c r="B10" s="2" t="s">
        <v>526</v>
      </c>
    </row>
    <row r="11" spans="1:2" ht="30" customHeight="1">
      <c r="A11" s="4" t="s">
        <v>35</v>
      </c>
      <c r="B11" s="5" t="s">
        <v>527</v>
      </c>
    </row>
    <row r="12" spans="1:2" ht="30" customHeight="1">
      <c r="A12" s="1" t="s">
        <v>36</v>
      </c>
      <c r="B12" s="2" t="s">
        <v>528</v>
      </c>
    </row>
    <row r="13" spans="1:2" ht="30" customHeight="1">
      <c r="A13" s="4" t="s">
        <v>37</v>
      </c>
      <c r="B13" s="5" t="s">
        <v>529</v>
      </c>
    </row>
    <row r="14" spans="1:2" ht="30" customHeight="1">
      <c r="A14" s="1" t="s">
        <v>38</v>
      </c>
      <c r="B14" s="2" t="s">
        <v>530</v>
      </c>
    </row>
    <row r="15" spans="1:2" ht="30" customHeight="1">
      <c r="A15" s="4" t="s">
        <v>531</v>
      </c>
      <c r="B15" s="5" t="s">
        <v>532</v>
      </c>
    </row>
    <row r="16" spans="1:2" ht="30" customHeight="1">
      <c r="A16" s="1" t="s">
        <v>533</v>
      </c>
      <c r="B16" s="2" t="s">
        <v>534</v>
      </c>
    </row>
    <row r="17" spans="1:2" ht="30" customHeight="1">
      <c r="A17" s="4" t="s">
        <v>535</v>
      </c>
      <c r="B17" s="5" t="s">
        <v>536</v>
      </c>
    </row>
    <row r="18" spans="1:2" ht="30" customHeight="1">
      <c r="A18" s="1" t="s">
        <v>537</v>
      </c>
      <c r="B18" s="2" t="s">
        <v>538</v>
      </c>
    </row>
    <row r="19" spans="1:2" ht="30" customHeight="1">
      <c r="A19" s="4" t="s">
        <v>539</v>
      </c>
      <c r="B19" s="5" t="s">
        <v>540</v>
      </c>
    </row>
    <row r="20" spans="1:2" ht="30" customHeight="1">
      <c r="A20" s="1" t="s">
        <v>541</v>
      </c>
      <c r="B20" s="2" t="s">
        <v>542</v>
      </c>
    </row>
    <row r="21" spans="1:2" ht="30" customHeight="1">
      <c r="A21" s="4" t="s">
        <v>45</v>
      </c>
      <c r="B21" s="5" t="s">
        <v>543</v>
      </c>
    </row>
    <row r="22" spans="1:2" ht="30" customHeight="1">
      <c r="A22" s="1" t="s">
        <v>544</v>
      </c>
      <c r="B22" s="2" t="s">
        <v>545</v>
      </c>
    </row>
    <row r="23" spans="1:2" ht="30" customHeight="1">
      <c r="A23" s="4" t="s">
        <v>546</v>
      </c>
      <c r="B23" s="5" t="s">
        <v>547</v>
      </c>
    </row>
    <row r="24" spans="1:2" ht="30" customHeight="1">
      <c r="A24" s="1" t="s">
        <v>48</v>
      </c>
      <c r="B24" s="2" t="s">
        <v>548</v>
      </c>
    </row>
    <row r="25" spans="1:2" ht="30" customHeight="1">
      <c r="A25" s="4" t="s">
        <v>549</v>
      </c>
      <c r="B25" s="5" t="s">
        <v>550</v>
      </c>
    </row>
    <row r="26" spans="1:2" ht="30" customHeight="1">
      <c r="A26" s="1" t="s">
        <v>551</v>
      </c>
      <c r="B26" s="2" t="s">
        <v>552</v>
      </c>
    </row>
    <row r="29" spans="1:2">
      <c r="A29" s="95" t="s">
        <v>553</v>
      </c>
      <c r="B29" s="101"/>
    </row>
    <row r="30" spans="1:2" ht="30" customHeight="1">
      <c r="A30" s="1" t="s">
        <v>554</v>
      </c>
      <c r="B30" s="2" t="s">
        <v>555</v>
      </c>
    </row>
    <row r="31" spans="1:2" ht="30" customHeight="1">
      <c r="A31" s="4" t="s">
        <v>556</v>
      </c>
      <c r="B31" s="5" t="s">
        <v>557</v>
      </c>
    </row>
    <row r="32" spans="1:2" ht="30" customHeight="1">
      <c r="A32" s="1" t="s">
        <v>558</v>
      </c>
      <c r="B32" s="2" t="s">
        <v>559</v>
      </c>
    </row>
    <row r="33" spans="1:2" ht="30" customHeight="1">
      <c r="A33" s="4" t="s">
        <v>560</v>
      </c>
      <c r="B33" s="5" t="s">
        <v>561</v>
      </c>
    </row>
    <row r="34" spans="1:2" ht="30" customHeight="1">
      <c r="A34" s="1" t="s">
        <v>286</v>
      </c>
      <c r="B34" s="2" t="s">
        <v>562</v>
      </c>
    </row>
    <row r="35" spans="1:2" ht="30" customHeight="1">
      <c r="A35" s="4" t="s">
        <v>563</v>
      </c>
      <c r="B35" s="5" t="s">
        <v>564</v>
      </c>
    </row>
    <row r="36" spans="1:2" ht="30" customHeight="1">
      <c r="A36" s="1" t="s">
        <v>565</v>
      </c>
      <c r="B36" s="2" t="s">
        <v>566</v>
      </c>
    </row>
    <row r="37" spans="1:2" ht="30" customHeight="1">
      <c r="A37" s="4" t="s">
        <v>567</v>
      </c>
      <c r="B37" s="5" t="s">
        <v>568</v>
      </c>
    </row>
    <row r="38" spans="1:2" ht="30" customHeight="1">
      <c r="A38" s="1" t="s">
        <v>407</v>
      </c>
      <c r="B38" s="2" t="s">
        <v>569</v>
      </c>
    </row>
    <row r="39" spans="1:2" ht="30" customHeight="1">
      <c r="A39" s="4" t="s">
        <v>570</v>
      </c>
      <c r="B39" s="5" t="s">
        <v>571</v>
      </c>
    </row>
  </sheetData>
  <mergeCells count="3">
    <mergeCell ref="A3:B3"/>
    <mergeCell ref="A29:B29"/>
    <mergeCell ref="A1:B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
  <sheetViews>
    <sheetView showGridLines="0" workbookViewId="0">
      <selection activeCell="I12" sqref="I12"/>
    </sheetView>
  </sheetViews>
  <sheetFormatPr defaultRowHeight="14.45"/>
  <cols>
    <col min="1" max="1" width="32" customWidth="1"/>
    <col min="2" max="2" width="60" customWidth="1"/>
    <col min="3" max="3" width="20" customWidth="1"/>
  </cols>
  <sheetData>
    <row r="1" spans="1:3">
      <c r="A1" s="93" t="s">
        <v>572</v>
      </c>
      <c r="B1" s="99"/>
      <c r="C1" s="99"/>
    </row>
    <row r="2" spans="1:3" ht="8.1" customHeight="1"/>
    <row r="3" spans="1:3">
      <c r="A3" s="9" t="s">
        <v>573</v>
      </c>
      <c r="B3" s="9" t="s">
        <v>574</v>
      </c>
      <c r="C3" s="9" t="s">
        <v>515</v>
      </c>
    </row>
    <row r="4" spans="1:3" ht="45" customHeight="1">
      <c r="A4" s="1" t="s">
        <v>575</v>
      </c>
      <c r="B4" s="2" t="s">
        <v>576</v>
      </c>
      <c r="C4" s="6" t="s">
        <v>73</v>
      </c>
    </row>
    <row r="5" spans="1:3" ht="45" customHeight="1">
      <c r="A5" s="4" t="s">
        <v>577</v>
      </c>
      <c r="B5" s="5" t="s">
        <v>578</v>
      </c>
      <c r="C5" s="6" t="s">
        <v>73</v>
      </c>
    </row>
    <row r="6" spans="1:3" ht="45" customHeight="1">
      <c r="A6" s="1" t="s">
        <v>579</v>
      </c>
      <c r="B6" s="2" t="s">
        <v>580</v>
      </c>
      <c r="C6" s="6" t="s">
        <v>73</v>
      </c>
    </row>
    <row r="7" spans="1:3" ht="45" customHeight="1">
      <c r="A7" s="4" t="s">
        <v>581</v>
      </c>
      <c r="B7" s="5" t="s">
        <v>582</v>
      </c>
      <c r="C7" s="6" t="s">
        <v>73</v>
      </c>
    </row>
    <row r="8" spans="1:3">
      <c r="A8" s="1" t="s">
        <v>583</v>
      </c>
      <c r="B8" s="2" t="s">
        <v>584</v>
      </c>
      <c r="C8" s="7" t="s">
        <v>175</v>
      </c>
    </row>
    <row r="9" spans="1:3" ht="45" customHeight="1">
      <c r="A9" s="1" t="s">
        <v>585</v>
      </c>
      <c r="B9" s="2" t="s">
        <v>586</v>
      </c>
      <c r="C9" s="7" t="s">
        <v>175</v>
      </c>
    </row>
    <row r="10" spans="1:3" ht="53.45" customHeight="1">
      <c r="A10" s="1" t="s">
        <v>587</v>
      </c>
      <c r="B10" s="2" t="s">
        <v>588</v>
      </c>
      <c r="C10" s="7" t="s">
        <v>175</v>
      </c>
    </row>
    <row r="11" spans="1:3" ht="45" customHeight="1">
      <c r="A11" s="4" t="s">
        <v>589</v>
      </c>
      <c r="B11" s="5" t="s">
        <v>590</v>
      </c>
      <c r="C11" s="7" t="s">
        <v>175</v>
      </c>
    </row>
    <row r="12" spans="1:3" ht="45" customHeight="1">
      <c r="A12" s="1" t="s">
        <v>591</v>
      </c>
      <c r="B12" s="2" t="s">
        <v>592</v>
      </c>
      <c r="C12" s="7" t="s">
        <v>175</v>
      </c>
    </row>
    <row r="13" spans="1:3" ht="45" customHeight="1">
      <c r="A13" s="4" t="s">
        <v>593</v>
      </c>
      <c r="B13" s="5" t="s">
        <v>594</v>
      </c>
      <c r="C13" s="7" t="s">
        <v>175</v>
      </c>
    </row>
    <row r="14" spans="1:3" ht="45" customHeight="1">
      <c r="A14" s="1" t="s">
        <v>595</v>
      </c>
      <c r="B14" s="2" t="s">
        <v>596</v>
      </c>
      <c r="C14" s="7" t="s">
        <v>175</v>
      </c>
    </row>
    <row r="15" spans="1:3" ht="45" customHeight="1">
      <c r="A15" s="4" t="s">
        <v>597</v>
      </c>
      <c r="B15" s="5" t="s">
        <v>598</v>
      </c>
      <c r="C15" s="7" t="s">
        <v>175</v>
      </c>
    </row>
    <row r="16" spans="1:3" ht="45" customHeight="1">
      <c r="A16" s="1" t="s">
        <v>599</v>
      </c>
      <c r="B16" s="2" t="s">
        <v>600</v>
      </c>
      <c r="C16" s="6" t="s">
        <v>73</v>
      </c>
    </row>
    <row r="17" spans="1:3" ht="45" customHeight="1">
      <c r="A17" s="4" t="s">
        <v>601</v>
      </c>
      <c r="B17" s="5" t="s">
        <v>602</v>
      </c>
      <c r="C17" s="7" t="s">
        <v>175</v>
      </c>
    </row>
    <row r="18" spans="1:3" ht="45" customHeight="1">
      <c r="A18" s="1" t="s">
        <v>603</v>
      </c>
      <c r="B18" s="2" t="s">
        <v>604</v>
      </c>
      <c r="C18" s="3" t="s">
        <v>605</v>
      </c>
    </row>
    <row r="19" spans="1:3" ht="45" customHeight="1">
      <c r="A19" s="4" t="s">
        <v>606</v>
      </c>
      <c r="B19" s="5" t="s">
        <v>607</v>
      </c>
      <c r="C19" s="3" t="s">
        <v>605</v>
      </c>
    </row>
    <row r="20" spans="1:3" ht="45" customHeight="1">
      <c r="A20" s="1" t="s">
        <v>608</v>
      </c>
      <c r="B20" s="2" t="s">
        <v>609</v>
      </c>
      <c r="C20" s="3" t="s">
        <v>605</v>
      </c>
    </row>
  </sheetData>
  <mergeCells count="1">
    <mergeCell ref="A1:C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7162C-06FF-451B-8E10-3B97936D2F24}">
  <dimension ref="A1:A5"/>
  <sheetViews>
    <sheetView workbookViewId="0">
      <selection activeCell="B11" sqref="B11"/>
    </sheetView>
  </sheetViews>
  <sheetFormatPr defaultRowHeight="14.45"/>
  <cols>
    <col min="1" max="1" width="18.28515625" customWidth="1"/>
  </cols>
  <sheetData>
    <row r="1" spans="1:1">
      <c r="A1" s="32" t="s">
        <v>55</v>
      </c>
    </row>
    <row r="2" spans="1:1">
      <c r="A2" s="33" t="s">
        <v>349</v>
      </c>
    </row>
    <row r="3" spans="1:1">
      <c r="A3" s="33" t="s">
        <v>145</v>
      </c>
    </row>
    <row r="4" spans="1:1">
      <c r="A4" s="33" t="s">
        <v>182</v>
      </c>
    </row>
    <row r="5" spans="1:1">
      <c r="A5" s="33" t="s">
        <v>610</v>
      </c>
    </row>
  </sheetData>
  <phoneticPr fontId="2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8BBCF-4D6A-4992-9951-04CC020B9237}">
  <dimension ref="A1:AD6"/>
  <sheetViews>
    <sheetView zoomScale="90" zoomScaleNormal="90" workbookViewId="0">
      <selection activeCell="A11" sqref="A11"/>
    </sheetView>
  </sheetViews>
  <sheetFormatPr defaultColWidth="8.7109375" defaultRowHeight="14.45"/>
  <cols>
    <col min="2" max="2" width="5" customWidth="1"/>
    <col min="3" max="3" width="22" customWidth="1"/>
    <col min="4" max="5" width="14" customWidth="1"/>
    <col min="6" max="6" width="36" customWidth="1"/>
    <col min="7" max="7" width="32" customWidth="1"/>
    <col min="8" max="8" width="24" customWidth="1"/>
    <col min="9" max="9" width="19.28515625" customWidth="1"/>
    <col min="10" max="10" width="14" customWidth="1"/>
    <col min="11" max="11" width="17.28515625" customWidth="1"/>
    <col min="12" max="12" width="13.28515625" customWidth="1"/>
    <col min="13" max="13" width="16" customWidth="1"/>
    <col min="14" max="14" width="10" customWidth="1"/>
    <col min="15" max="15" width="30" customWidth="1"/>
    <col min="16" max="16" width="28" customWidth="1"/>
    <col min="17" max="18" width="32" customWidth="1"/>
    <col min="19" max="19" width="18" customWidth="1"/>
    <col min="20" max="21" width="14" customWidth="1"/>
    <col min="22" max="22" width="19.28515625" customWidth="1"/>
    <col min="23" max="23" width="28" customWidth="1"/>
    <col min="24" max="27" width="12" customWidth="1"/>
    <col min="28" max="28" width="12.5703125" customWidth="1"/>
    <col min="29" max="29" width="10.28515625" customWidth="1"/>
    <col min="30" max="30" width="85.42578125" customWidth="1"/>
  </cols>
  <sheetData>
    <row r="1" spans="1:30" s="12" customFormat="1" ht="14.1" customHeight="1">
      <c r="B1" s="79" t="s">
        <v>19</v>
      </c>
      <c r="C1" s="96"/>
      <c r="D1" s="96"/>
      <c r="E1" s="96"/>
      <c r="F1" s="96"/>
      <c r="G1" s="96"/>
      <c r="H1" s="96"/>
      <c r="I1" s="96"/>
      <c r="J1" s="96"/>
      <c r="K1" s="96"/>
      <c r="L1" s="96"/>
      <c r="M1" s="96"/>
      <c r="N1" s="96"/>
      <c r="O1" s="96"/>
      <c r="P1" s="96"/>
      <c r="Q1" s="96"/>
      <c r="R1" s="96"/>
      <c r="S1" s="96"/>
      <c r="T1" s="96"/>
      <c r="U1" s="96"/>
      <c r="V1" s="96"/>
      <c r="W1" s="96"/>
      <c r="X1" s="96"/>
      <c r="Y1" s="96"/>
      <c r="Z1" s="96"/>
      <c r="AA1" s="96"/>
      <c r="AB1" s="10"/>
      <c r="AC1" s="10"/>
      <c r="AD1" s="11"/>
    </row>
    <row r="2" spans="1:30" s="12" customFormat="1" ht="36" customHeight="1" thickBot="1">
      <c r="B2" s="83" t="s">
        <v>20</v>
      </c>
      <c r="C2" s="97"/>
      <c r="D2" s="97"/>
      <c r="E2" s="97"/>
      <c r="F2" s="78" t="s">
        <v>21</v>
      </c>
      <c r="G2" s="98"/>
      <c r="H2" s="98"/>
      <c r="I2" s="77" t="s">
        <v>22</v>
      </c>
      <c r="J2" s="98"/>
      <c r="K2" s="98"/>
      <c r="L2" s="98"/>
      <c r="M2" s="98"/>
      <c r="N2" s="82" t="s">
        <v>23</v>
      </c>
      <c r="O2" s="98"/>
      <c r="P2" s="98"/>
      <c r="Q2" s="98"/>
      <c r="R2" s="98"/>
      <c r="S2" s="98"/>
      <c r="T2" s="98"/>
      <c r="U2" s="76" t="s">
        <v>24</v>
      </c>
      <c r="V2" s="98"/>
      <c r="W2" s="98"/>
      <c r="X2" s="80" t="s">
        <v>25</v>
      </c>
      <c r="Y2" s="81"/>
      <c r="Z2" s="81"/>
      <c r="AA2" s="81"/>
      <c r="AB2" s="10"/>
      <c r="AC2" s="10"/>
      <c r="AD2" s="11"/>
    </row>
    <row r="3" spans="1:30" s="15" customFormat="1" ht="30" customHeight="1">
      <c r="A3" s="13" t="s">
        <v>26</v>
      </c>
      <c r="B3" s="61" t="s">
        <v>27</v>
      </c>
      <c r="C3" s="13" t="s">
        <v>28</v>
      </c>
      <c r="D3" s="61" t="s">
        <v>29</v>
      </c>
      <c r="E3" s="61" t="s">
        <v>30</v>
      </c>
      <c r="F3" s="61" t="s">
        <v>31</v>
      </c>
      <c r="G3" s="61" t="s">
        <v>32</v>
      </c>
      <c r="H3" s="13" t="s">
        <v>33</v>
      </c>
      <c r="I3" s="13" t="s">
        <v>34</v>
      </c>
      <c r="J3" s="13" t="s">
        <v>35</v>
      </c>
      <c r="K3" s="13" t="s">
        <v>36</v>
      </c>
      <c r="L3" s="13" t="s">
        <v>37</v>
      </c>
      <c r="M3" s="13" t="s">
        <v>38</v>
      </c>
      <c r="N3" s="61" t="s">
        <v>39</v>
      </c>
      <c r="O3" s="61" t="s">
        <v>40</v>
      </c>
      <c r="P3" s="61" t="s">
        <v>41</v>
      </c>
      <c r="Q3" s="61" t="s">
        <v>42</v>
      </c>
      <c r="R3" s="61" t="s">
        <v>43</v>
      </c>
      <c r="S3" s="61" t="s">
        <v>44</v>
      </c>
      <c r="T3" s="61" t="s">
        <v>45</v>
      </c>
      <c r="U3" s="61" t="s">
        <v>46</v>
      </c>
      <c r="V3" s="61" t="s">
        <v>47</v>
      </c>
      <c r="W3" s="61" t="s">
        <v>48</v>
      </c>
      <c r="X3" s="61" t="s">
        <v>49</v>
      </c>
      <c r="Y3" s="61" t="s">
        <v>50</v>
      </c>
      <c r="Z3" s="61" t="s">
        <v>51</v>
      </c>
      <c r="AA3" s="62" t="s">
        <v>52</v>
      </c>
      <c r="AB3" s="63" t="s">
        <v>53</v>
      </c>
      <c r="AC3" s="63" t="s">
        <v>2</v>
      </c>
      <c r="AD3" s="14" t="s">
        <v>54</v>
      </c>
    </row>
    <row r="4" spans="1:30" s="12" customFormat="1" ht="60" customHeight="1">
      <c r="A4" s="35"/>
      <c r="B4" s="43" t="s">
        <v>164</v>
      </c>
      <c r="C4" s="36" t="s">
        <v>611</v>
      </c>
      <c r="D4" s="37" t="s">
        <v>58</v>
      </c>
      <c r="E4" s="38" t="s">
        <v>126</v>
      </c>
      <c r="F4" s="39" t="s">
        <v>612</v>
      </c>
      <c r="G4" s="39" t="s">
        <v>613</v>
      </c>
      <c r="H4" s="39" t="s">
        <v>614</v>
      </c>
      <c r="I4" s="39" t="s">
        <v>615</v>
      </c>
      <c r="J4" s="38" t="s">
        <v>616</v>
      </c>
      <c r="K4" s="38" t="s">
        <v>65</v>
      </c>
      <c r="L4" s="38" t="s">
        <v>66</v>
      </c>
      <c r="M4" s="38" t="s">
        <v>93</v>
      </c>
      <c r="N4" s="23" t="s">
        <v>154</v>
      </c>
      <c r="O4" s="39" t="s">
        <v>335</v>
      </c>
      <c r="P4" s="39"/>
      <c r="Q4" s="39" t="s">
        <v>336</v>
      </c>
      <c r="R4" s="39" t="s">
        <v>337</v>
      </c>
      <c r="S4" s="23" t="s">
        <v>73</v>
      </c>
      <c r="T4" s="38" t="s">
        <v>133</v>
      </c>
      <c r="U4" s="38" t="s">
        <v>617</v>
      </c>
      <c r="V4" s="38" t="s">
        <v>134</v>
      </c>
      <c r="W4" s="47" t="s">
        <v>618</v>
      </c>
      <c r="X4" s="38" t="s">
        <v>179</v>
      </c>
      <c r="Y4" s="38" t="s">
        <v>619</v>
      </c>
      <c r="Z4" s="38" t="s">
        <v>181</v>
      </c>
      <c r="AA4" s="38" t="s">
        <v>179</v>
      </c>
      <c r="AB4" s="21" t="s">
        <v>74</v>
      </c>
      <c r="AC4" s="41">
        <v>46143</v>
      </c>
      <c r="AD4" s="20"/>
    </row>
    <row r="5" spans="1:30" ht="66">
      <c r="A5" s="46"/>
      <c r="B5" s="43" t="s">
        <v>433</v>
      </c>
      <c r="C5" s="36" t="s">
        <v>620</v>
      </c>
      <c r="D5" s="37" t="s">
        <v>352</v>
      </c>
      <c r="E5" s="38" t="s">
        <v>621</v>
      </c>
      <c r="F5" s="39" t="s">
        <v>622</v>
      </c>
      <c r="G5" s="39" t="s">
        <v>623</v>
      </c>
      <c r="H5" s="39" t="s">
        <v>624</v>
      </c>
      <c r="I5" s="39" t="s">
        <v>151</v>
      </c>
      <c r="J5" s="38" t="s">
        <v>152</v>
      </c>
      <c r="K5" s="38" t="s">
        <v>163</v>
      </c>
      <c r="L5" s="38" t="s">
        <v>92</v>
      </c>
      <c r="M5" s="38" t="s">
        <v>625</v>
      </c>
      <c r="N5" s="40" t="s">
        <v>154</v>
      </c>
      <c r="O5" s="39" t="s">
        <v>155</v>
      </c>
      <c r="P5" s="39"/>
      <c r="Q5" s="39" t="s">
        <v>156</v>
      </c>
      <c r="R5" s="39" t="s">
        <v>157</v>
      </c>
      <c r="S5" s="40" t="s">
        <v>73</v>
      </c>
      <c r="T5" s="38" t="s">
        <v>133</v>
      </c>
      <c r="U5" s="38" t="s">
        <v>352</v>
      </c>
      <c r="V5" s="21" t="s">
        <v>64</v>
      </c>
      <c r="W5" s="20" t="s">
        <v>626</v>
      </c>
      <c r="X5" s="38" t="s">
        <v>627</v>
      </c>
      <c r="Y5" s="21" t="s">
        <v>628</v>
      </c>
      <c r="Z5" s="38" t="s">
        <v>629</v>
      </c>
      <c r="AA5" s="38" t="s">
        <v>627</v>
      </c>
      <c r="AB5" s="38" t="s">
        <v>301</v>
      </c>
      <c r="AC5" s="41" t="s">
        <v>76</v>
      </c>
      <c r="AD5" s="20" t="s">
        <v>630</v>
      </c>
    </row>
    <row r="6" spans="1:30" ht="171.6">
      <c r="A6" s="35"/>
      <c r="B6" s="43" t="s">
        <v>462</v>
      </c>
      <c r="C6" s="36" t="s">
        <v>631</v>
      </c>
      <c r="D6" s="37" t="s">
        <v>352</v>
      </c>
      <c r="E6" s="38" t="s">
        <v>621</v>
      </c>
      <c r="F6" s="20" t="s">
        <v>632</v>
      </c>
      <c r="G6" s="39" t="s">
        <v>633</v>
      </c>
      <c r="H6" s="39" t="s">
        <v>634</v>
      </c>
      <c r="I6" s="39" t="s">
        <v>635</v>
      </c>
      <c r="J6" s="38" t="s">
        <v>636</v>
      </c>
      <c r="K6" s="38" t="s">
        <v>637</v>
      </c>
      <c r="L6" s="38" t="s">
        <v>638</v>
      </c>
      <c r="M6" s="38" t="s">
        <v>639</v>
      </c>
      <c r="N6" s="23" t="s">
        <v>154</v>
      </c>
      <c r="O6" s="39"/>
      <c r="P6" s="39"/>
      <c r="Q6" s="39" t="s">
        <v>640</v>
      </c>
      <c r="R6" s="20" t="s">
        <v>641</v>
      </c>
      <c r="S6" s="23" t="s">
        <v>73</v>
      </c>
      <c r="T6" s="38" t="s">
        <v>133</v>
      </c>
      <c r="U6" s="38" t="s">
        <v>352</v>
      </c>
      <c r="V6" s="21" t="s">
        <v>64</v>
      </c>
      <c r="W6" s="20" t="s">
        <v>642</v>
      </c>
      <c r="X6" s="38" t="s">
        <v>643</v>
      </c>
      <c r="Y6" s="21" t="s">
        <v>644</v>
      </c>
      <c r="Z6" s="38" t="s">
        <v>645</v>
      </c>
      <c r="AA6" s="38" t="s">
        <v>646</v>
      </c>
      <c r="AB6" s="38" t="s">
        <v>301</v>
      </c>
      <c r="AC6" s="41" t="s">
        <v>76</v>
      </c>
      <c r="AD6" s="20" t="s">
        <v>630</v>
      </c>
    </row>
  </sheetData>
  <mergeCells count="7">
    <mergeCell ref="B1:AA1"/>
    <mergeCell ref="B2:E2"/>
    <mergeCell ref="F2:H2"/>
    <mergeCell ref="I2:M2"/>
    <mergeCell ref="N2:T2"/>
    <mergeCell ref="U2:W2"/>
    <mergeCell ref="X2:AA2"/>
  </mergeCells>
  <hyperlinks>
    <hyperlink ref="W4" r:id="rId1" xr:uid="{ECF727E0-A6E3-4774-8CA0-B3D58F79EC0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44507FF-4E3C-42AA-AB8E-710D0DE3F949}">
          <x14:formula1>
            <xm:f>Lists!$A$1:$A$5</xm:f>
          </x14:formula1>
          <xm:sqref>A4:A6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44FF3E57D5874E910ABD2B20B2314E" ma:contentTypeVersion="14" ma:contentTypeDescription="Create a new document." ma:contentTypeScope="" ma:versionID="abeeba1e68161aad0fa3bf7405051c4b">
  <xsd:schema xmlns:xsd="http://www.w3.org/2001/XMLSchema" xmlns:xs="http://www.w3.org/2001/XMLSchema" xmlns:p="http://schemas.microsoft.com/office/2006/metadata/properties" xmlns:ns2="46c124bf-e411-4e02-8405-0eae331cb2b1" xmlns:ns3="ff1a179e-5872-402f-9b83-c896c2e4b13a" targetNamespace="http://schemas.microsoft.com/office/2006/metadata/properties" ma:root="true" ma:fieldsID="54c7554dbd800cface3e3cfa7faa494c" ns2:_="" ns3:_="">
    <xsd:import namespace="46c124bf-e411-4e02-8405-0eae331cb2b1"/>
    <xsd:import namespace="ff1a179e-5872-402f-9b83-c896c2e4b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SkillSets" minOccurs="0"/>
                <xsd:element ref="ns2:Skil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c124bf-e411-4e02-8405-0eae331cb2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3ee0b58-e154-4ff0-8073-653bf9f640c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SkillSets" ma:index="20" nillable="true" ma:displayName="Expertise" ma:format="Dropdown" ma:internalName="SkillSets">
      <xsd:simpleType>
        <xsd:restriction base="dms:Text">
          <xsd:maxLength value="255"/>
        </xsd:restriction>
      </xsd:simpleType>
    </xsd:element>
    <xsd:element name="Skills" ma:index="21" nillable="true" ma:displayName="Skills " ma:format="Dropdown" ma:internalName="Skill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1a179e-5872-402f-9b83-c896c2e4b13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10d2543-3b46-485e-b376-36dfcb8fce58}" ma:internalName="TaxCatchAll" ma:showField="CatchAllData" ma:web="ff1a179e-5872-402f-9b83-c896c2e4b1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killSets xmlns="46c124bf-e411-4e02-8405-0eae331cb2b1" xsi:nil="true"/>
    <lcf76f155ced4ddcb4097134ff3c332f xmlns="46c124bf-e411-4e02-8405-0eae331cb2b1">
      <Terms xmlns="http://schemas.microsoft.com/office/infopath/2007/PartnerControls"/>
    </lcf76f155ced4ddcb4097134ff3c332f>
    <Skills xmlns="46c124bf-e411-4e02-8405-0eae331cb2b1" xsi:nil="true"/>
    <TaxCatchAll xmlns="ff1a179e-5872-402f-9b83-c896c2e4b13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231317-AAC4-49E3-9C99-167294AE67C9}"/>
</file>

<file path=customXml/itemProps2.xml><?xml version="1.0" encoding="utf-8"?>
<ds:datastoreItem xmlns:ds="http://schemas.openxmlformats.org/officeDocument/2006/customXml" ds:itemID="{2875F04F-003D-4964-BB57-7DD40307FD5B}"/>
</file>

<file path=customXml/itemProps3.xml><?xml version="1.0" encoding="utf-8"?>
<ds:datastoreItem xmlns:ds="http://schemas.openxmlformats.org/officeDocument/2006/customXml" ds:itemID="{1862C404-9582-4FC1-8C1D-2CC45903AF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2026-04-20T09:32:51Z</dcterms:created>
  <dcterms:modified xsi:type="dcterms:W3CDTF">2026-05-11T07:54:40Z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0x010100DD44FF3E57D5874E910ABD2B20B2314E</vt:lpwstr>
  </property>
  <property fmtid="{D5CDD505-2E9C-101B-9397-08002B2CF9AE}" pid="3" name="MediaServiceImageTags">
    <vt:lpwstr/>
  </property>
</Properties>
</file>