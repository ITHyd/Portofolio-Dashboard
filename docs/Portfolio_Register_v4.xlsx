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enzen365.sharepoint.com/sites/Clients/Shared Documents/04 -  Programme &amp; Delivery Excellence/03 Portfolio Office/07 Performance and Reporting/Pre ERP Reports/"/>
    </mc:Choice>
  </mc:AlternateContent>
  <xr:revisionPtr revIDLastSave="0" documentId="8_{35079790-AD23-4036-9BC7-B5CBDC83E9C1}" xr6:coauthVersionLast="47" xr6:coauthVersionMax="47" xr10:uidLastSave="{00000000-0000-0000-0000-000000000000}"/>
  <bookViews>
    <workbookView xWindow="-108" yWindow="-108" windowWidth="23256" windowHeight="13896" tabRatio="957" firstSheet="8" activeTab="8" xr2:uid="{00000000-000D-0000-FFFF-FFFF00000000}"/>
  </bookViews>
  <sheets>
    <sheet name="Cover" sheetId="10" r:id="rId1"/>
    <sheet name="📋 Instructions" sheetId="1" r:id="rId2"/>
    <sheet name="Roles &amp; Responsibilities" sheetId="11" r:id="rId3"/>
    <sheet name="✅ Gov Checkpoints" sheetId="5" r:id="rId4"/>
    <sheet name="🗂 Project Register" sheetId="2" r:id="rId5"/>
    <sheet name="🚦 Weekly Status Update" sheetId="3" r:id="rId6"/>
    <sheet name="⚠️ Risks &amp; Issues" sheetId="4" r:id="rId7"/>
    <sheet name="💼 Commercial" sheetId="6" r:id="rId8"/>
    <sheet name="👥 Resource &amp; Utilisation" sheetId="7" r:id="rId9"/>
    <sheet name="⭐ Client Satisfaction" sheetId="8"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3" l="1"/>
  <c r="B16" i="3"/>
  <c r="C16" i="3"/>
  <c r="N16" i="3"/>
  <c r="D20" i="4"/>
  <c r="N19" i="3"/>
  <c r="N20" i="3"/>
  <c r="A19" i="8"/>
  <c r="B19" i="8"/>
  <c r="C19" i="8"/>
  <c r="A20" i="8"/>
  <c r="B20" i="8"/>
  <c r="C20" i="8"/>
  <c r="D19" i="6"/>
  <c r="D20" i="6"/>
  <c r="A19" i="6"/>
  <c r="B19" i="6"/>
  <c r="C19" i="6"/>
  <c r="A20" i="6"/>
  <c r="B20" i="6"/>
  <c r="C20" i="6"/>
  <c r="A20" i="4"/>
  <c r="B20" i="4"/>
  <c r="C20" i="4"/>
  <c r="B19" i="4"/>
  <c r="A19" i="4"/>
  <c r="A17" i="4"/>
  <c r="A19" i="3"/>
  <c r="B19" i="3"/>
  <c r="C19" i="3"/>
  <c r="A20" i="3"/>
  <c r="B20" i="3"/>
  <c r="C20" i="3"/>
  <c r="D7" i="6"/>
  <c r="D8" i="6"/>
  <c r="D9" i="6"/>
  <c r="D10" i="6"/>
  <c r="D11" i="6"/>
  <c r="D12" i="6"/>
  <c r="D13" i="6"/>
  <c r="D14" i="6"/>
  <c r="D15" i="6"/>
  <c r="D16" i="6"/>
  <c r="D17" i="6"/>
  <c r="D18" i="6"/>
  <c r="D6" i="6"/>
  <c r="D18" i="4" l="1"/>
  <c r="C18" i="4"/>
  <c r="B18" i="4"/>
  <c r="B17" i="4"/>
  <c r="C19" i="4"/>
  <c r="D19" i="4"/>
  <c r="D7" i="4"/>
  <c r="D8" i="4"/>
  <c r="D9" i="4"/>
  <c r="D10" i="4"/>
  <c r="D11" i="4"/>
  <c r="D12" i="4"/>
  <c r="D13" i="4"/>
  <c r="D14" i="4"/>
  <c r="D15" i="4"/>
  <c r="D16" i="4"/>
  <c r="D17" i="4"/>
  <c r="D6" i="4"/>
  <c r="N7" i="3"/>
  <c r="N8" i="3"/>
  <c r="N9" i="3"/>
  <c r="N10" i="3"/>
  <c r="N11" i="3"/>
  <c r="N12" i="3"/>
  <c r="N13" i="3"/>
  <c r="N14" i="3"/>
  <c r="N15" i="3"/>
  <c r="N17" i="3"/>
  <c r="N18" i="3"/>
  <c r="N6" i="3"/>
  <c r="A7" i="8"/>
  <c r="B7" i="8"/>
  <c r="C7" i="8"/>
  <c r="A8" i="8"/>
  <c r="B8" i="8"/>
  <c r="C8" i="8"/>
  <c r="A9" i="8"/>
  <c r="B9" i="8"/>
  <c r="C9" i="8"/>
  <c r="A10" i="8"/>
  <c r="B10" i="8"/>
  <c r="C10" i="8"/>
  <c r="A11" i="8"/>
  <c r="B11" i="8"/>
  <c r="C11" i="8"/>
  <c r="A12" i="8"/>
  <c r="B12" i="8"/>
  <c r="C12" i="8"/>
  <c r="A13" i="8"/>
  <c r="B13" i="8"/>
  <c r="C13" i="8"/>
  <c r="A14" i="8"/>
  <c r="B14" i="8"/>
  <c r="C14" i="8"/>
  <c r="A15" i="8"/>
  <c r="B15" i="8"/>
  <c r="C15" i="8"/>
  <c r="A16" i="8"/>
  <c r="B16" i="8"/>
  <c r="C16" i="8"/>
  <c r="A17" i="8"/>
  <c r="B17" i="8"/>
  <c r="C17" i="8"/>
  <c r="A18" i="8"/>
  <c r="B18" i="8"/>
  <c r="C18" i="8"/>
  <c r="C6" i="8"/>
  <c r="B6" i="8"/>
  <c r="A6" i="8"/>
  <c r="A10" i="6"/>
  <c r="B10" i="6"/>
  <c r="C10" i="6"/>
  <c r="A11" i="6"/>
  <c r="B11" i="6"/>
  <c r="C11" i="6"/>
  <c r="A12" i="6"/>
  <c r="B12" i="6"/>
  <c r="C12" i="6"/>
  <c r="A13" i="6"/>
  <c r="B13" i="6"/>
  <c r="C13" i="6"/>
  <c r="A14" i="6"/>
  <c r="B14" i="6"/>
  <c r="C14" i="6"/>
  <c r="A15" i="6"/>
  <c r="B15" i="6"/>
  <c r="C15" i="6"/>
  <c r="A16" i="6"/>
  <c r="B16" i="6"/>
  <c r="C16" i="6"/>
  <c r="A17" i="6"/>
  <c r="B17" i="6"/>
  <c r="C17" i="6"/>
  <c r="A18" i="6"/>
  <c r="B18" i="6"/>
  <c r="C18" i="6"/>
  <c r="A10" i="4"/>
  <c r="B10" i="4"/>
  <c r="C10" i="4"/>
  <c r="A11" i="4"/>
  <c r="B11" i="4"/>
  <c r="C11" i="4"/>
  <c r="A12" i="4"/>
  <c r="B12" i="4"/>
  <c r="C12" i="4"/>
  <c r="A13" i="4"/>
  <c r="B13" i="4"/>
  <c r="C13" i="4"/>
  <c r="A14" i="4"/>
  <c r="B14" i="4"/>
  <c r="C14" i="4"/>
  <c r="A15" i="4"/>
  <c r="B15" i="4"/>
  <c r="C15" i="4"/>
  <c r="A16" i="4"/>
  <c r="B16" i="4"/>
  <c r="C16" i="4"/>
  <c r="C17" i="4"/>
  <c r="B10" i="3"/>
  <c r="C10" i="3"/>
  <c r="B11" i="3"/>
  <c r="C11" i="3"/>
  <c r="B12" i="3"/>
  <c r="C12" i="3"/>
  <c r="B13" i="3"/>
  <c r="C13" i="3"/>
  <c r="B14" i="3"/>
  <c r="C14" i="3"/>
  <c r="B15" i="3"/>
  <c r="C15" i="3"/>
  <c r="B17" i="3"/>
  <c r="C17" i="3"/>
  <c r="B18" i="3"/>
  <c r="C18" i="3"/>
  <c r="A9" i="3"/>
  <c r="A10" i="3"/>
  <c r="A11" i="3"/>
  <c r="A12" i="3"/>
  <c r="A13" i="3"/>
  <c r="A14" i="3"/>
  <c r="A15" i="3"/>
  <c r="A17" i="3"/>
  <c r="A18" i="3"/>
  <c r="C7" i="6"/>
  <c r="C8" i="6"/>
  <c r="C9" i="6"/>
  <c r="C6" i="6"/>
  <c r="B7" i="6"/>
  <c r="B8" i="6"/>
  <c r="B9" i="6"/>
  <c r="B6" i="6"/>
  <c r="A7" i="6"/>
  <c r="A8" i="6"/>
  <c r="A9" i="6"/>
  <c r="A6" i="6"/>
  <c r="C7" i="4"/>
  <c r="C8" i="4"/>
  <c r="C9" i="4"/>
  <c r="C6" i="4"/>
  <c r="B7" i="4"/>
  <c r="B8" i="4"/>
  <c r="B9" i="4"/>
  <c r="B6" i="4"/>
  <c r="A7" i="4"/>
  <c r="A8" i="4"/>
  <c r="A9" i="4"/>
  <c r="A6" i="4"/>
  <c r="C7" i="3"/>
  <c r="C8" i="3"/>
  <c r="C9" i="3"/>
  <c r="C6" i="3"/>
  <c r="B7" i="3"/>
  <c r="B8" i="3"/>
  <c r="B9" i="3"/>
  <c r="B6" i="3"/>
  <c r="A7" i="3"/>
  <c r="A8" i="3"/>
  <c r="A6" i="3"/>
  <c r="I7" i="7"/>
  <c r="I8" i="7"/>
  <c r="I9" i="7"/>
  <c r="I10" i="7"/>
  <c r="I11" i="7"/>
  <c r="I12" i="7"/>
  <c r="I13" i="7"/>
  <c r="I14" i="7"/>
  <c r="I15" i="7"/>
  <c r="I6" i="7"/>
</calcChain>
</file>

<file path=xl/sharedStrings.xml><?xml version="1.0" encoding="utf-8"?>
<sst xmlns="http://schemas.openxmlformats.org/spreadsheetml/2006/main" count="1055" uniqueCount="421">
  <si>
    <t>Version</t>
  </si>
  <si>
    <t>Status</t>
  </si>
  <si>
    <t>Date</t>
  </si>
  <si>
    <t>Author</t>
  </si>
  <si>
    <t>Comments</t>
  </si>
  <si>
    <t xml:space="preserve"> v1</t>
  </si>
  <si>
    <t>Old</t>
  </si>
  <si>
    <t>Laura Hargrave</t>
  </si>
  <si>
    <t>First draft for comment</t>
  </si>
  <si>
    <t>v2</t>
  </si>
  <si>
    <t>Alf Pendlebury</t>
  </si>
  <si>
    <t>Added data owner &amp; data source to relevant tabs</t>
  </si>
  <si>
    <t>v3</t>
  </si>
  <si>
    <t>Added Governance Checkpoints tab &amp; associated info</t>
  </si>
  <si>
    <t>v4</t>
  </si>
  <si>
    <t>Current</t>
  </si>
  <si>
    <t>Added Roles &amp; Responsibilities tab &amp; asscociated info.  Finalised latest data updates to project tabs. Proj data now accurate as at 08/05/26.</t>
  </si>
  <si>
    <t>Notes:</t>
  </si>
  <si>
    <r>
      <rPr>
        <b/>
        <sz val="11"/>
        <color theme="1"/>
        <rFont val="Arial"/>
        <family val="2"/>
      </rPr>
      <t>N1</t>
    </r>
    <r>
      <rPr>
        <sz val="11"/>
        <color theme="1"/>
        <rFont val="Arial"/>
        <family val="2"/>
      </rPr>
      <t xml:space="preserve">: </t>
    </r>
  </si>
  <si>
    <t>PURPOSE</t>
  </si>
  <si>
    <t>This register is the single source of truth for all active nxzen UK project data. It is completed weekly by Project Managers and Client Partners, then processed by the Portfolio Office to generate the Friday Portfolio Review dashboard.</t>
  </si>
  <si>
    <t>WHO COMPLETES WHAT</t>
  </si>
  <si>
    <t>Project Managers</t>
  </si>
  <si>
    <t>Complete the '🗂 Project Register', '🚦 Weekly Status Update', and '⚠️ Risks &amp; Issues' tabs for each of your projects.</t>
  </si>
  <si>
    <t>Client Partners</t>
  </si>
  <si>
    <t>Complete the '💼 Commercial' tab for each of your accounts.</t>
  </si>
  <si>
    <t>Resource Manager</t>
  </si>
  <si>
    <t>Complete the '👥 Resource &amp; Utilisation' tab each week.</t>
  </si>
  <si>
    <t>Finance</t>
  </si>
  <si>
    <t>Complete the '🗂 Project Register' columns XXX</t>
  </si>
  <si>
    <t>Portfolio Office</t>
  </si>
  <si>
    <t>Validate all inputs, track governance checkpoints in '✅ Gov Checkpoints' tab, run the report / automation, and distribute the dashboard by Friday PM.</t>
  </si>
  <si>
    <t>WEEKLY RHYTHM</t>
  </si>
  <si>
    <t>Thursday EOD</t>
  </si>
  <si>
    <t>PMs complete the '🗂 Project Register', '🚦 Weekly Status Update', and '⚠️ Risks &amp; Issues' tabs for project ahead of their respecitve weekly elivery review call (Mon- Thurs).</t>
  </si>
  <si>
    <t>Friday AM</t>
  </si>
  <si>
    <t>Portfolio Office runs AI (Claude) automation and generates dashboard.</t>
  </si>
  <si>
    <t>Friday PM</t>
  </si>
  <si>
    <t>Dashboard distributed to Mohamed Syedian ahead of Tuesday SLT. PO saves a copy end of week for reference</t>
  </si>
  <si>
    <t>IMPORTANT RULES</t>
  </si>
  <si>
    <t>1. Do NOT change column headers or tab names.</t>
  </si>
  <si>
    <t>The automation reads specific cell locations. Changing structure will break the dashboard.</t>
  </si>
  <si>
    <t>2. Use the dropdowns provided.</t>
  </si>
  <si>
    <t>RAG status, Phase, Practice, and other fields have validated dropdowns. Do not type freehand.</t>
  </si>
  <si>
    <t>3. Every active project must have a row.</t>
  </si>
  <si>
    <t>If a project is new, add a row in the Project Register first before updating status.</t>
  </si>
  <si>
    <t>4. Never delete rows — mark as Closed instead.</t>
  </si>
  <si>
    <t>Set Status = 'Closed' in the Project Register to remove from active dashboard view.</t>
  </si>
  <si>
    <t>5. Red RAG must have a comment.</t>
  </si>
  <si>
    <t>Any Red rating in the Weekly Status Update requires a comment in the 'Key Flag / Comment' column.</t>
  </si>
  <si>
    <t>6. RAG Criteria</t>
  </si>
  <si>
    <t>xxx</t>
  </si>
  <si>
    <t>Project Register Tab</t>
  </si>
  <si>
    <t>Responsible to
populate</t>
  </si>
  <si>
    <t>Ref</t>
  </si>
  <si>
    <t>Project Name</t>
  </si>
  <si>
    <t>Client</t>
  </si>
  <si>
    <t>Sub-Prop / Practice</t>
  </si>
  <si>
    <t>Current Phase</t>
  </si>
  <si>
    <t>Start Date</t>
  </si>
  <si>
    <t>End Date (Baseline)</t>
  </si>
  <si>
    <t>End Date (Forecast)</t>
  </si>
  <si>
    <t>Days Slippage</t>
  </si>
  <si>
    <t>Contract Value (£)</t>
  </si>
  <si>
    <t>Margin Target (%)</t>
  </si>
  <si>
    <t>PM Name</t>
  </si>
  <si>
    <t>CP Name</t>
  </si>
  <si>
    <t>Project Code</t>
  </si>
  <si>
    <t>Notes</t>
  </si>
  <si>
    <t>Project Manager</t>
  </si>
  <si>
    <t>Client Parter</t>
  </si>
  <si>
    <t>Weekly Status Update Tab</t>
  </si>
  <si>
    <t>Week Ending</t>
  </si>
  <si>
    <t>Schedule
RAG</t>
  </si>
  <si>
    <t>Resource
RAG</t>
  </si>
  <si>
    <t>Scope
RAG</t>
  </si>
  <si>
    <t>Budget
RAG</t>
  </si>
  <si>
    <t>Overall
RAG</t>
  </si>
  <si>
    <t xml:space="preserve">Key Flag / Comment 
</t>
  </si>
  <si>
    <t>Next Milestone</t>
  </si>
  <si>
    <t>Milestone Due</t>
  </si>
  <si>
    <t>Milestone Status</t>
  </si>
  <si>
    <t>Last Updated</t>
  </si>
  <si>
    <t>Risks and Issues Tab</t>
  </si>
  <si>
    <t>Phase</t>
  </si>
  <si>
    <t>Type</t>
  </si>
  <si>
    <t>Rating</t>
  </si>
  <si>
    <t>Description</t>
  </si>
  <si>
    <t>Impact if Unmitigated</t>
  </si>
  <si>
    <t>Mitigation / Action</t>
  </si>
  <si>
    <t>Owner</t>
  </si>
  <si>
    <t>Date Raised</t>
  </si>
  <si>
    <t>Commercial Register Tab</t>
  </si>
  <si>
    <t>Revenue Plan MTD (£)</t>
  </si>
  <si>
    <t>Revenue Actual MTD (£)</t>
  </si>
  <si>
    <t>Margin Forecast (%)</t>
  </si>
  <si>
    <t>Opportunity Name</t>
  </si>
  <si>
    <t>Pipeline Stage</t>
  </si>
  <si>
    <t>Pipeline Value (£)</t>
  </si>
  <si>
    <t>Repeat / New</t>
  </si>
  <si>
    <t>Resource and Utilisation Tab</t>
  </si>
  <si>
    <t>Name</t>
  </si>
  <si>
    <t>Practice</t>
  </si>
  <si>
    <t>Region</t>
  </si>
  <si>
    <t>Contract
Hours/Wk</t>
  </si>
  <si>
    <t>Leave
Hours</t>
  </si>
  <si>
    <t>Billable
Hours</t>
  </si>
  <si>
    <t>Non-Billable
Hours</t>
  </si>
  <si>
    <t>Utilisation
%</t>
  </si>
  <si>
    <t>Assigned
Project(s)</t>
  </si>
  <si>
    <t>Assignment
Status</t>
  </si>
  <si>
    <t>Client Satisfaction Tab</t>
  </si>
  <si>
    <t>Date Collected</t>
  </si>
  <si>
    <t>Score (1-5)</t>
  </si>
  <si>
    <t>Client Comment</t>
  </si>
  <si>
    <t>Collected By</t>
  </si>
  <si>
    <t>Next Collection Due</t>
  </si>
  <si>
    <t>✅  Gov Checkpoints  |  Portfolio Office — Central Source of Truth  |  Portfolio tracks evidence; delivery teams run the meetings</t>
  </si>
  <si>
    <t>GOVERNANCE CHECKPOINTS  |  Lifecycle: Bid/Proposal &gt; Initiate &gt; Plan &gt; Delivery &gt; Close  |  Delivery flow within Delivery phase: Design &gt; Build &gt; Test &gt; Deploy</t>
  </si>
  <si>
    <t>PM</t>
  </si>
  <si>
    <t>n/a Update Here</t>
  </si>
  <si>
    <t>Checkpoint</t>
  </si>
  <si>
    <t>What it covers</t>
  </si>
  <si>
    <t>Evidence — how Portfolio Office tracks it</t>
  </si>
  <si>
    <t>P001
CRM Modernisation
UKPN  |  UAT</t>
  </si>
  <si>
    <t>P002
ERP Integration
UKPN  |  Build</t>
  </si>
  <si>
    <t>P003
Data Platform
SSE  |  Discovery</t>
  </si>
  <si>
    <t>P004
Digital Strategy
ENW  |  Discovery</t>
  </si>
  <si>
    <t>P005
Cyber Maturity
Nat. Grid  |  Build</t>
  </si>
  <si>
    <t>P006
OT Security
SP Energy  |  Discovery</t>
  </si>
  <si>
    <t>Notes / Evidence Detail</t>
  </si>
  <si>
    <t>B1</t>
  </si>
  <si>
    <t>Bid/Proposal</t>
  </si>
  <si>
    <t>Bid / No-bid review</t>
  </si>
  <si>
    <t>Portfolio Office confirms commercial viability, resource availability, margin expectations and strategic fit before committing to a bid. Hard gate — no bid submitted without Portfolio Office sign-off.</t>
  </si>
  <si>
    <t>Decision (Proceed / No-bid) recorded with rationale and Client Partner sign-off. Date and decision logged in register. Stored against project ref.</t>
  </si>
  <si>
    <t>Complete</t>
  </si>
  <si>
    <t>B2</t>
  </si>
  <si>
    <t>Technical solutioning sign-off</t>
  </si>
  <si>
    <t>Joint</t>
  </si>
  <si>
    <t>Delivery team presents proposed technical approach, stack, architecture and effort estimates. Portfolio confirms resource and timeline are realistic before submission.</t>
  </si>
  <si>
    <t>Solution summary doc or sign-off email filed. Date, attendees and any conditions recorded in Notes column. Portfolio records outcome — does not chair meeting.</t>
  </si>
  <si>
    <t>B3</t>
  </si>
  <si>
    <t>Risk &amp; assumptions register opened</t>
  </si>
  <si>
    <t>Delivery raises key delivery risks and commercial assumptions in the bid. Portfolio validates completeness and realism before submission to client.</t>
  </si>
  <si>
    <t>Risk log version number and review date recorded. PM confirmation noted. Linked to Risks &amp; Issues tab on award.</t>
  </si>
  <si>
    <t>I1</t>
  </si>
  <si>
    <t>Initiate</t>
  </si>
  <si>
    <t>Project kick-off gate</t>
  </si>
  <si>
    <t>Hard gate before any delivery work begins. Signed contract confirmed, project code issued, PM named, baseline scope and budget agreed. No work starts without this.</t>
  </si>
  <si>
    <t>Contract reference, project code, PM name and gate date recorded. Gate status = Pass / Conditional / Fail. Logged in Project Register.</t>
  </si>
  <si>
    <t>In Progress</t>
  </si>
  <si>
    <t>I2</t>
  </si>
  <si>
    <t>Project charter approved</t>
  </si>
  <si>
    <t>Objectives, success criteria, constraints, exclusions, governance contacts and escalation path documented and agreed with client.</t>
  </si>
  <si>
    <t>Charter document version and client sign-off date recorded. Portfolio holds the approved charter. Any conditions noted.</t>
  </si>
  <si>
    <t>I3</t>
  </si>
  <si>
    <t>Stakeholder &amp; RACI confirmed</t>
  </si>
  <si>
    <t>Client-side contacts, internal nxzen team, escalation path and communication cadence agreed and documented.</t>
  </si>
  <si>
    <t>Named contacts and RACI version logged. Portfolio records confirmation date. Escalation path tested (email/call confirmed with client sponsor).</t>
  </si>
  <si>
    <t>I4</t>
  </si>
  <si>
    <t>Technical architecture review</t>
  </si>
  <si>
    <t>Delivery Team</t>
  </si>
  <si>
    <t>Delivery team presents proposed architecture to internal technical lead or CTO. Solution reviewed for quality, nxzen standards, risk and client constraints.</t>
  </si>
  <si>
    <t>Portfolio records: reviewed (Y/N), reviewer name, date, any conditions raised. Delivery team owns and runs the review. Portfolio logs outcome only.</t>
  </si>
  <si>
    <t>P1</t>
  </si>
  <si>
    <t>Plan</t>
  </si>
  <si>
    <t>Baseline plan approved</t>
  </si>
  <si>
    <t>Project schedule, milestones, dependencies and critical path baselined and approved. Portfolio holds the approved baseline for all future change tracking.</t>
  </si>
  <si>
    <t>Baseline plan version saved with approval date and PM sign-off. Any variances from bid assumptions noted. Baseline locked in register.</t>
  </si>
  <si>
    <t>Not Started</t>
  </si>
  <si>
    <t>P2</t>
  </si>
  <si>
    <t>Design review sign-off</t>
  </si>
  <si>
    <t>UX, architecture or data design reviewed and approved before build begins. Covers functional design, non-functional requirements and integration points. Entry gate to Build — no build starts without this.</t>
  </si>
  <si>
    <t>Portfolio records: sign-off received (Y/N), reviewer name, date, and whether any CRs were raised as a result. Delivery team runs the review.</t>
  </si>
  <si>
    <t>P3</t>
  </si>
  <si>
    <t>Resource confirmed</t>
  </si>
  <si>
    <t>Named individuals assigned to the project before delivery starts. Skill gaps identified. Interim or contractor resource plan agreed if gaps exist.</t>
  </si>
  <si>
    <t>Named resource list logged against project ref. Any gaps or contractor requirements flagged to Resource Manager. Confirmation date recorded. Linked to Resource tab.</t>
  </si>
  <si>
    <t>P4</t>
  </si>
  <si>
    <t>Quality &amp; test strategy agreed</t>
  </si>
  <si>
    <t>Test approach, environments, test types (SIT, UAT, regression), entry/exit criteria and client acceptance process defined and agreed before build begins.</t>
  </si>
  <si>
    <t>Test strategy document on file. Portfolio records: agreed (Y/N), date, UAT lead named (client and internal). Delivery team owns the document.</t>
  </si>
  <si>
    <t>D1</t>
  </si>
  <si>
    <t>Delivery</t>
  </si>
  <si>
    <t>Design sign-off (entry to Build)</t>
  </si>
  <si>
    <t>Functional and technical design formally signed off by client and internal lead before any build activity begins. Covers UI/UX, data model, integrations and non-functional requirements.</t>
  </si>
  <si>
    <t>Portfolio records: signed off (Y/N), client contact, internal reviewer, date. Any open design items that are conditional to build noted. Delivery team runs the review; Portfolio logs outcome.</t>
  </si>
  <si>
    <t>D2</t>
  </si>
  <si>
    <t>Build checkpoint (sprint / phase review)</t>
  </si>
  <si>
    <t>Delivery team runs regular sprint reviews or phase checkpoints. Progress against plan, quality, velocity and blockers reviewed at each checkpoint.</t>
  </si>
  <si>
    <t>Portfolio tracks via 🚦 Weekly Status tab: RAG per week, velocity trend, blockers escalated. Portfolio does not attend sprint ceremonies. Flags to SLT if Overall RAG = Red for 2+ consecutive weeks.</t>
  </si>
  <si>
    <t>D3</t>
  </si>
  <si>
    <t>Change control checkpoint</t>
  </si>
  <si>
    <t>All changes to scope, budget or timeline logged by PM and commercially approved by Client Partner before implementation. Portfolio holds the consolidated CR log.</t>
  </si>
  <si>
    <t>CR log maintained in register. Each CR must have: raised date, description, £ value impact, approval status, and approved date. Portfolio tracks cumulative impact on baseline budget and schedule.</t>
  </si>
  <si>
    <t>D4</t>
  </si>
  <si>
    <t>Test entry sign-off (SIT / UAT entry)</t>
  </si>
  <si>
    <t>Defined entry criteria for System Integration Testing or UAT must be met and confirmed before testing begins. Delivery team confirms readiness formally.</t>
  </si>
  <si>
    <t>Portfolio records: entry criteria met (Y/N), test start date, any conditions accepted. Evidence = test readiness report or PM sign-off email. Delivery team owns the gate.</t>
  </si>
  <si>
    <t>D5</t>
  </si>
  <si>
    <t>UAT exit / client acceptance</t>
  </si>
  <si>
    <t>Client formally accepts UAT results and signs off on the build before go-live. This is the primary commercial acceptance milestone and triggers final invoicing.</t>
  </si>
  <si>
    <t>Portfolio records: sign-off received (Y/N), client contact name, date, outstanding defects agreed (if any). Updates forecast-to-complete and flags invoicing milestone to Commercial tab.</t>
  </si>
  <si>
    <t>D6</t>
  </si>
  <si>
    <t>Deploy readiness review (Go / No-go)</t>
  </si>
  <si>
    <t>Formal go/no-go decision against a defined deployment checklist covering: technical readiness, data migration, rollback plan, support arrangements and client comms.</t>
  </si>
  <si>
    <t>Portfolio records: Go/No-go decision, decision maker, date, confirmed deployment window. Any No-go conditions and resolution plan noted. Delivery team chairs; Portfolio logs outcome.</t>
  </si>
  <si>
    <t>C1</t>
  </si>
  <si>
    <t>Close</t>
  </si>
  <si>
    <t>Deployment / go-live sign-off</t>
  </si>
  <si>
    <t>Production release confirmed. Client acknowledges live status. Hypercare period and support arrangements agreed and communicated.</t>
  </si>
  <si>
    <t>Portfolio updates project status to Closing. Deployment date, client confirming contact and hypercare start/end dates recorded. Commercial tab updated for final invoice trigger.</t>
  </si>
  <si>
    <t>C2</t>
  </si>
  <si>
    <t>Hypercare / stabilisation gate</t>
  </si>
  <si>
    <t>Defined support period monitored post go-live. Issues tracked. Exit criteria for hypercare met before formal transition to client or BAU.</t>
  </si>
  <si>
    <t>Portfolio tracks open issues during hypercare. Gate exit = all P1/P2 issues resolved, client sign-off on stability. Date of hypercare exit recorded. Status updated to Closing.</t>
  </si>
  <si>
    <t>C3</t>
  </si>
  <si>
    <t>Lessons learned</t>
  </si>
  <si>
    <t>Delivery team runs a structured retrospective covering what went well, what could improve, and actions for future projects.</t>
  </si>
  <si>
    <t>Portfolio captures key themes across portfolio (not per-project detail). Delivery team owns and runs the session. Portfolio records: held (Y/N), date, top 3 themes noted.</t>
  </si>
  <si>
    <t>C4</t>
  </si>
  <si>
    <t>Project closure approved</t>
  </si>
  <si>
    <t>Final sign-off that the project is complete. Covers: final financials reconciled, outcomes vs plan documented, client satisfaction score collected, resource released, project code closed in systems.</t>
  </si>
  <si>
    <t>Closure checklist completed. Final margin vs target recorded in Commercial tab. Client satisfaction score logged in ⭐ Client Satisfaction tab. Project status set to Closed in Project Register.</t>
  </si>
  <si>
    <t>Owner key:  Portfolio Office = holds the gate, records evidence and escalates    |    Delivery Team = runs the meeting and produces the artefact    |    Joint = both must attend for the decision to be valid</t>
  </si>
  <si>
    <t>🗂  Project Register  |  All Active nxzen UK Projects  |  Updated: see cell P2</t>
  </si>
  <si>
    <t>PROJECT IDENTITY</t>
  </si>
  <si>
    <t>DATES &amp; PHASE</t>
  </si>
  <si>
    <t>COMMERCIAL</t>
  </si>
  <si>
    <t>OWNERSHIP</t>
  </si>
  <si>
    <t>STATUS</t>
  </si>
  <si>
    <t>CP</t>
  </si>
  <si>
    <t>MS Dynamic Project Operations</t>
  </si>
  <si>
    <t>ZenX</t>
  </si>
  <si>
    <t>Sub-Proposition / Practice</t>
  </si>
  <si>
    <t>GB01_P001074</t>
  </si>
  <si>
    <t>Project - UKPN - Cyber Resilience Roles T&amp;M</t>
  </si>
  <si>
    <t>UK Power Networks (Operations) Ltd</t>
  </si>
  <si>
    <t>Renewables &amp; Engineering</t>
  </si>
  <si>
    <t>Active</t>
  </si>
  <si>
    <t>Amit Fadnavis</t>
  </si>
  <si>
    <t>Sudhakar Nalla</t>
  </si>
  <si>
    <t>GB01_P001021</t>
  </si>
  <si>
    <t>Project - UKPN - Income Management Mavis Faster Staging</t>
  </si>
  <si>
    <t>Danie Selvaraju</t>
  </si>
  <si>
    <t>GB01_P001073</t>
  </si>
  <si>
    <t>Project - UKPN - Nexus IMIB</t>
  </si>
  <si>
    <t>UAT</t>
  </si>
  <si>
    <t>MohamedMurshid S</t>
  </si>
  <si>
    <t>UKPN - Distance to Fault &amp; CAS Pole Pilot</t>
  </si>
  <si>
    <t>Vasupradha</t>
  </si>
  <si>
    <t>New project</t>
  </si>
  <si>
    <t>GB01_P001005</t>
  </si>
  <si>
    <t>Project - Eirgrid - Eirgrid PSSE to Power Factory</t>
  </si>
  <si>
    <t>EirGrid plc</t>
  </si>
  <si>
    <t>On Hold</t>
  </si>
  <si>
    <t>Rodrigo Merino</t>
  </si>
  <si>
    <t>The project has been placed on hold and may potentially be terminated.</t>
  </si>
  <si>
    <t>GB01_P001006</t>
  </si>
  <si>
    <t>Project - Eirgrid - Eirgird Product Specialist T&amp;M</t>
  </si>
  <si>
    <t>The project may be extended by a further three months - In discussion</t>
  </si>
  <si>
    <t>GB01_P001010</t>
  </si>
  <si>
    <t>Project - ENWL - SAP Projects</t>
  </si>
  <si>
    <t>Electricity North West Limited</t>
  </si>
  <si>
    <t>TamoghnaMihirDas gupta</t>
  </si>
  <si>
    <t>David Butcher</t>
  </si>
  <si>
    <t>ENWL - Project Manager - IT Resilience SMR - TnM</t>
  </si>
  <si>
    <t>WWU - Deed Digitalisation</t>
  </si>
  <si>
    <t>Wales &amp; West Utilities</t>
  </si>
  <si>
    <t>Martin Ridley</t>
  </si>
  <si>
    <t>WWU - Service Suite Upgrade &amp; MFT</t>
  </si>
  <si>
    <t>Design</t>
  </si>
  <si>
    <t>GB01_P001075</t>
  </si>
  <si>
    <t>Project - WWU - Open Text</t>
  </si>
  <si>
    <t>GB01_P001028</t>
  </si>
  <si>
    <t>Project - WWU- SAP Simplification Item - S/4</t>
  </si>
  <si>
    <t>GB01_P001026</t>
  </si>
  <si>
    <t>Project - WWU - S4 Resource and S4 Project Support New - FY26</t>
  </si>
  <si>
    <t>GB01_P001070</t>
  </si>
  <si>
    <t>Project - SGN - Dev Test FPP</t>
  </si>
  <si>
    <t>Scotia Gas Networks Limited</t>
  </si>
  <si>
    <t>Anoop Prabhu</t>
  </si>
  <si>
    <t>Alex Pitcher</t>
  </si>
  <si>
    <t>Project consists of 5 FP SOW's</t>
  </si>
  <si>
    <t>GB01_P001069</t>
  </si>
  <si>
    <t>Project - SGN - Dev Test T&amp;M</t>
  </si>
  <si>
    <t>Project consists of  T&amp;M SOW's</t>
  </si>
  <si>
    <t>🚦  Weekly Status Update  |  Complete by Wednesday EOD  |  PM-owned</t>
  </si>
  <si>
    <t>PROJECT ID</t>
  </si>
  <si>
    <t xml:space="preserve">RAG STATUS - REFER TO CRITERIA IN INSTRUCTIONS (this week) </t>
  </si>
  <si>
    <t>KEY FLAG / COMMENT</t>
  </si>
  <si>
    <t>MILESTONE</t>
  </si>
  <si>
    <t>GOVERNANCE</t>
  </si>
  <si>
    <t>MS Dynamic Project Ops</t>
  </si>
  <si>
    <t>Key Flag / Comment
(mandatory if any Red)</t>
  </si>
  <si>
    <t>Green</t>
  </si>
  <si>
    <t>05/05: End of May PO to be confirmed. At Risk but client assured</t>
  </si>
  <si>
    <t>PO confirmation</t>
  </si>
  <si>
    <t>At Risk</t>
  </si>
  <si>
    <t>28/04: Project continued until Dec’26</t>
  </si>
  <si>
    <t>On Track</t>
  </si>
  <si>
    <t>Amber</t>
  </si>
  <si>
    <t xml:space="preserve">28/04: Very tight timelines. UAT started 27/04 and client resourcing not sufficient to meet deadlines, so we have needed to add in more resource to complete. </t>
  </si>
  <si>
    <t>UAT Complete</t>
  </si>
  <si>
    <t>05/05: Reduce timelines for pilot delivery.</t>
  </si>
  <si>
    <t>Workshop</t>
  </si>
  <si>
    <t>Red</t>
  </si>
  <si>
    <t>05/05: Scheduling call with Procurement. £50k at risk.</t>
  </si>
  <si>
    <t>Confirm proj statius</t>
  </si>
  <si>
    <t>27/04: Currently discussing 3-month extension from under mid-May current PO</t>
  </si>
  <si>
    <t xml:space="preserve">06/05: CR status is green. Extension of 1 week accepted by client. ​ Separately the stabilization is in progress and on track against plan. </t>
  </si>
  <si>
    <t>Complete Stabilisation plan</t>
  </si>
  <si>
    <r>
      <t>29/04: Srinivasan Neelakantan has been onboarded and working from SP ENW Location from 20</t>
    </r>
    <r>
      <rPr>
        <vertAlign val="superscript"/>
        <sz val="9"/>
        <color rgb="FF000000"/>
        <rFont val="Arial"/>
        <family val="2"/>
      </rPr>
      <t>th</t>
    </r>
    <r>
      <rPr>
        <sz val="9"/>
        <color rgb="FF000000"/>
        <rFont val="Arial"/>
        <family val="2"/>
      </rPr>
      <t xml:space="preserve"> April.</t>
    </r>
  </si>
  <si>
    <t>06/05: Client feedback to be incorporated into design and to be played back 07/05 during the Architecture Review Board (ARB)</t>
  </si>
  <si>
    <t>Design review at ARB</t>
  </si>
  <si>
    <t xml:space="preserve">06/05: Received additional scope from client and working on impact assessment currently, to be shared next week. Project still in design phase. </t>
  </si>
  <si>
    <t>Agree scope</t>
  </si>
  <si>
    <t xml:space="preserve">06/05: New plan is being baselined and CR being agreed with the client. Once plan baselined and CR agreed, we can anticipate move back to green. </t>
  </si>
  <si>
    <t>Meet with WWU Team</t>
  </si>
  <si>
    <t>Submit work order</t>
  </si>
  <si>
    <t>NGM DBP Decom –  delivered and handover in progress</t>
  </si>
  <si>
    <t>Complete handover</t>
  </si>
  <si>
    <t>07/05: Alex (CP) and project sponsor from SNG have aligned. SGN has not confirmed the testing start date. (Sudha). Need to re-baseline plan and commercials etc. Alex is on top of this issue. Trend is the same as previous week.</t>
  </si>
  <si>
    <t>07/05: IBM team onboarded today, kick off complete. (Praveen)</t>
  </si>
  <si>
    <t>07/05: Tracking green, no issues.</t>
  </si>
  <si>
    <t>⚠️  Risks &amp; Issues Register  |  PM-owned  |  Updated Weekly</t>
  </si>
  <si>
    <t>PROJECT</t>
  </si>
  <si>
    <t>RISK / ISSUE DETAIL</t>
  </si>
  <si>
    <t>MANAGEMENT</t>
  </si>
  <si>
    <t xml:space="preserve">MS Dynamic Proj Ops </t>
  </si>
  <si>
    <t>Current Proj Status Excel</t>
  </si>
  <si>
    <t>RAID</t>
  </si>
  <si>
    <t>Risk</t>
  </si>
  <si>
    <t>High</t>
  </si>
  <si>
    <t>Risk of non-payment as client not satisfied by work completed</t>
  </si>
  <si>
    <t>CP scheduling meeting with Procurement to review and discuss next steps</t>
  </si>
  <si>
    <t>R Merino</t>
  </si>
  <si>
    <t>Medium</t>
  </si>
  <si>
    <t>SAP BASIS and security – team composition is currently lacking skills</t>
  </si>
  <si>
    <t>nxzen currently building in house team for SAP BASIS and security across all account.  
06/05:  No further update.</t>
  </si>
  <si>
    <t>Tamo / Solman</t>
  </si>
  <si>
    <t xml:space="preserve">DEED Digitilisation solution – feedback on fitting client requirements </t>
  </si>
  <si>
    <t>06/05: Feedback received but probability reduced.</t>
  </si>
  <si>
    <t>Nirmal Paul + Akhil Gupta</t>
  </si>
  <si>
    <t>Secure MFT - Azure infrastructure Environment readiness / preparation is getting delayed.</t>
  </si>
  <si>
    <t>06/05: Risk of further slippage beyond the change request.</t>
  </si>
  <si>
    <t>Tamo</t>
  </si>
  <si>
    <t>Risk on Version Compatibilities mismatch</t>
  </si>
  <si>
    <t>06/05: clarification received</t>
  </si>
  <si>
    <t>Venoje</t>
  </si>
  <si>
    <t>Closed</t>
  </si>
  <si>
    <t>Risk of Delay in HLD Approval will have impact in Start of Development Activities</t>
  </si>
  <si>
    <r>
      <rPr>
        <b/>
        <sz val="10"/>
        <color rgb="FF000000"/>
        <rFont val="Arial"/>
        <family val="2"/>
      </rPr>
      <t>Note</t>
    </r>
    <r>
      <rPr>
        <sz val="10"/>
        <color rgb="FF000000"/>
        <rFont val="Arial"/>
        <family val="2"/>
      </rPr>
      <t>: Not clear which piece of work the risk is related to so have selected GB01_P001026</t>
    </r>
  </si>
  <si>
    <t>06/05: Still open, probability reduced</t>
  </si>
  <si>
    <t>GB01_P0001026</t>
  </si>
  <si>
    <t>No agreement on the Level of completion of LLD to commence development activities</t>
  </si>
  <si>
    <t xml:space="preserve">Risk on IBM Infra being not supportive on Application support </t>
  </si>
  <si>
    <t xml:space="preserve">07/05: Anoop to escalate it with SGN. In progress </t>
  </si>
  <si>
    <t>Anoop</t>
  </si>
  <si>
    <t>We may lose business to competitors for Gas Control related work due to lack of skilled resources in the team</t>
  </si>
  <si>
    <t xml:space="preserve">07/05: Trying to support new resource starting next week, 2 days per week. June full time. Alex to confirm. If not available, revert to contractor. </t>
  </si>
  <si>
    <t>Vikas</t>
  </si>
  <si>
    <t>💼  Commercial Register  |  CP-owned  |  Updated Monthly</t>
  </si>
  <si>
    <t>REVENUE &amp; MARGIN</t>
  </si>
  <si>
    <t>PIPELINE</t>
  </si>
  <si>
    <t>👥  Resource &amp; Utilisation  |  Resource Manager-owned  |  Updated Weekly</t>
  </si>
  <si>
    <t>RESOURCE</t>
  </si>
  <si>
    <t>HOURS (this week)</t>
  </si>
  <si>
    <t>ASSIGNMENT</t>
  </si>
  <si>
    <t>Resource Mgr</t>
  </si>
  <si>
    <t>HR System*</t>
  </si>
  <si>
    <t>MS Dynamics Timesheet</t>
  </si>
  <si>
    <t>Resource Report**</t>
  </si>
  <si>
    <t>R001</t>
  </si>
  <si>
    <t>Apps &amp; Development</t>
  </si>
  <si>
    <t>UK</t>
  </si>
  <si>
    <t>P001</t>
  </si>
  <si>
    <t>Assigned</t>
  </si>
  <si>
    <t>R002</t>
  </si>
  <si>
    <t>Sam Lee</t>
  </si>
  <si>
    <t>Data Intelligence &amp; AI</t>
  </si>
  <si>
    <t>P002</t>
  </si>
  <si>
    <t>R003</t>
  </si>
  <si>
    <t>Priya Patel</t>
  </si>
  <si>
    <t>P003</t>
  </si>
  <si>
    <t>R004</t>
  </si>
  <si>
    <t>Tom Hughes</t>
  </si>
  <si>
    <t>P004</t>
  </si>
  <si>
    <t>Part week - annual leave Mon-Tue</t>
  </si>
  <si>
    <t>R005</t>
  </si>
  <si>
    <t>Anna Chen</t>
  </si>
  <si>
    <t>Cyber Security</t>
  </si>
  <si>
    <t>P005</t>
  </si>
  <si>
    <t>R006</t>
  </si>
  <si>
    <t>James Obi</t>
  </si>
  <si>
    <t>OT</t>
  </si>
  <si>
    <t>P006</t>
  </si>
  <si>
    <t>R007</t>
  </si>
  <si>
    <t>Ben Nair</t>
  </si>
  <si>
    <t>India</t>
  </si>
  <si>
    <t>P002, P003</t>
  </si>
  <si>
    <t>R008</t>
  </si>
  <si>
    <t>Meera Sharma</t>
  </si>
  <si>
    <t>R009</t>
  </si>
  <si>
    <t>Chris Tate</t>
  </si>
  <si>
    <t>Unassigned</t>
  </si>
  <si>
    <t>Bench</t>
  </si>
  <si>
    <t>Available for new project</t>
  </si>
  <si>
    <t>R010</t>
  </si>
  <si>
    <t>Fatima Al-Hassan</t>
  </si>
  <si>
    <t>Part-assigned</t>
  </si>
  <si>
    <t>50% capacity only - internal training</t>
  </si>
  <si>
    <t>* Need to find out name of system / source?</t>
  </si>
  <si>
    <t>** Assuming there is a spreadsheet or tool we use to manage resource / demand</t>
  </si>
  <si>
    <t>⭐  Client Satisfaction  |  CP-owned  |  Collected Monthly / At Milestone</t>
  </si>
  <si>
    <t>Rate delivery 1–5: 5 = Exceeds expectations. 4 = Meets expectations. 3 = Mostly met. 2 = Below expectations. 1 = Significantly below.</t>
  </si>
  <si>
    <t>Client Sat Survey*</t>
  </si>
  <si>
    <t>4</t>
  </si>
  <si>
    <t>No agreement with client re overall project status</t>
  </si>
  <si>
    <t>Stabilisation process in progress and on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</si>
</sst>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
    <numFmt numFmtId="166" formatCode="&quot;£&quot;#,##0.00"/>
  </numFmts>
  <fonts count="45">
    <font>
      <sz val="11"/>
      <color theme="1"/>
      <name val="Calibri"/>
      <family val="2"/>
      <scheme val="minor"/>
    </font>
    <font>
      <b/>
      <sz val="11"/>
      <color rgb="FFFFFFFF"/>
      <name val="Arial"/>
      <family val="2"/>
    </font>
    <font>
      <b/>
      <sz val="9"/>
      <color rgb="FFFFFFFF"/>
      <name val="Arial"/>
      <family val="2"/>
    </font>
    <font>
      <b/>
      <sz val="9"/>
      <color rgb="FF1B2A4A"/>
      <name val="Arial"/>
      <family val="2"/>
    </font>
    <font>
      <sz val="9"/>
      <color rgb="FF000000"/>
      <name val="Arial"/>
      <family val="2"/>
    </font>
    <font>
      <b/>
      <sz val="8"/>
      <color rgb="FFFFFFFF"/>
      <name val="Arial"/>
      <family val="2"/>
    </font>
    <font>
      <b/>
      <sz val="10"/>
      <color rgb="FF1B2A4A"/>
      <name val="Arial"/>
      <family val="2"/>
    </font>
    <font>
      <sz val="10"/>
      <color rgb="FF000000"/>
      <name val="Arial"/>
      <family val="2"/>
    </font>
    <font>
      <b/>
      <sz val="10"/>
      <color rgb="FF4A5568"/>
      <name val="Arial"/>
      <family val="2"/>
    </font>
    <font>
      <b/>
      <sz val="10"/>
      <color rgb="FF1A7A4A"/>
      <name val="Arial"/>
      <family val="2"/>
    </font>
    <font>
      <b/>
      <sz val="10"/>
      <color rgb="FFC0392B"/>
      <name val="Arial"/>
      <family val="2"/>
    </font>
    <font>
      <b/>
      <sz val="10"/>
      <color rgb="FFD68910"/>
      <name val="Arial"/>
      <family val="2"/>
    </font>
    <font>
      <i/>
      <sz val="9"/>
      <color rgb="FF4A5568"/>
      <name val="Arial"/>
      <family val="2"/>
    </font>
    <font>
      <b/>
      <sz val="11"/>
      <color theme="1"/>
      <name val="Calibri"/>
      <family val="2"/>
      <scheme val="minor"/>
    </font>
    <font>
      <sz val="8"/>
      <color rgb="FF444444"/>
      <name val="Arial"/>
      <family val="2"/>
    </font>
    <font>
      <i/>
      <sz val="8"/>
      <color rgb="FF777777"/>
      <name val="Arial"/>
      <family val="2"/>
    </font>
    <font>
      <b/>
      <sz val="9"/>
      <color rgb="FF3C3489"/>
      <name val="Arial"/>
      <family val="2"/>
    </font>
    <font>
      <b/>
      <sz val="9"/>
      <color rgb="FF111111"/>
      <name val="Arial"/>
      <family val="2"/>
    </font>
    <font>
      <sz val="9"/>
      <color rgb="FF222222"/>
      <name val="Arial"/>
      <family val="2"/>
    </font>
    <font>
      <sz val="9"/>
      <color rgb="FF333333"/>
      <name val="Arial"/>
      <family val="2"/>
    </font>
    <font>
      <b/>
      <sz val="9"/>
      <color rgb="FF1A7A4A"/>
      <name val="Arial"/>
      <family val="2"/>
    </font>
    <font>
      <sz val="9"/>
      <color rgb="FF555555"/>
      <name val="Arial"/>
      <family val="2"/>
    </font>
    <font>
      <b/>
      <sz val="9"/>
      <color rgb="FFD68910"/>
      <name val="Arial"/>
      <family val="2"/>
    </font>
    <font>
      <b/>
      <sz val="9"/>
      <color rgb="FF0F6E56"/>
      <name val="Arial"/>
      <family val="2"/>
    </font>
    <font>
      <b/>
      <sz val="9"/>
      <color rgb="FF888888"/>
      <name val="Arial"/>
      <family val="2"/>
    </font>
    <font>
      <b/>
      <sz val="9"/>
      <color rgb="FF2E5FA3"/>
      <name val="Arial"/>
      <family val="2"/>
    </font>
    <font>
      <b/>
      <sz val="9"/>
      <color rgb="FF7A1A1A"/>
      <name val="Arial"/>
      <family val="2"/>
    </font>
    <font>
      <i/>
      <sz val="9"/>
      <color rgb="FF1B2A4A"/>
      <name val="Arial"/>
      <family val="2"/>
    </font>
    <font>
      <b/>
      <sz val="14"/>
      <color theme="0"/>
      <name val="Arial"/>
      <family val="2"/>
    </font>
    <font>
      <sz val="12"/>
      <name val="Arial"/>
      <family val="2"/>
    </font>
    <font>
      <sz val="11"/>
      <color theme="1"/>
      <name val="Arial"/>
      <family val="2"/>
    </font>
    <font>
      <b/>
      <sz val="11"/>
      <color theme="1"/>
      <name val="Arial"/>
      <family val="2"/>
    </font>
    <font>
      <b/>
      <sz val="11"/>
      <color rgb="FF00B050"/>
      <name val="Arial"/>
      <family val="2"/>
    </font>
    <font>
      <sz val="10"/>
      <color theme="1"/>
      <name val="Calibri"/>
      <family val="2"/>
      <scheme val="minor"/>
    </font>
    <font>
      <b/>
      <sz val="10"/>
      <color rgb="FF000000"/>
      <name val="Arial"/>
      <family val="2"/>
    </font>
    <font>
      <sz val="9"/>
      <color rgb="FF030304"/>
      <name val="Arial"/>
      <family val="2"/>
    </font>
    <font>
      <b/>
      <sz val="10"/>
      <color rgb="FFFF0000"/>
      <name val="Arial"/>
      <family val="2"/>
    </font>
    <font>
      <vertAlign val="superscript"/>
      <sz val="9"/>
      <color rgb="FF000000"/>
      <name val="Arial"/>
      <family val="2"/>
    </font>
    <font>
      <sz val="10.5"/>
      <color rgb="FF030304"/>
      <name val="Calibri"/>
      <family val="2"/>
      <scheme val="minor"/>
    </font>
    <font>
      <sz val="10"/>
      <color rgb="FF030304"/>
      <name val="Arial"/>
      <family val="2"/>
    </font>
    <font>
      <sz val="11"/>
      <color rgb="FF030304"/>
      <name val="Calibri"/>
      <family val="2"/>
      <scheme val="minor"/>
    </font>
    <font>
      <sz val="8"/>
      <name val="Calibri"/>
      <family val="2"/>
      <scheme val="minor"/>
    </font>
    <font>
      <sz val="12"/>
      <color rgb="FF030304"/>
      <name val="Calibri"/>
      <family val="2"/>
      <scheme val="minor"/>
    </font>
    <font>
      <i/>
      <sz val="9"/>
      <color rgb="FF000000"/>
      <name val="Arial"/>
      <family val="2"/>
    </font>
    <font>
      <sz val="10"/>
      <color rgb="FF1B2A4A"/>
      <name val="Arial"/>
      <family val="2"/>
    </font>
  </fonts>
  <fills count="27">
    <fill>
      <patternFill patternType="none"/>
    </fill>
    <fill>
      <patternFill patternType="gray125"/>
    </fill>
    <fill>
      <patternFill patternType="solid">
        <fgColor rgb="FF6C3483"/>
      </patternFill>
    </fill>
    <fill>
      <patternFill patternType="solid">
        <fgColor rgb="FF1A7A4A"/>
      </patternFill>
    </fill>
    <fill>
      <patternFill patternType="solid">
        <fgColor rgb="FF1A6B7A"/>
      </patternFill>
    </fill>
    <fill>
      <patternFill patternType="solid">
        <fgColor rgb="FF7A1A1A"/>
      </patternFill>
    </fill>
    <fill>
      <patternFill patternType="solid">
        <fgColor rgb="FFC0392B"/>
      </patternFill>
    </fill>
    <fill>
      <patternFill patternType="solid">
        <fgColor rgb="FF1A6B5A"/>
      </patternFill>
    </fill>
    <fill>
      <patternFill patternType="solid">
        <fgColor rgb="FFFDECEA"/>
      </patternFill>
    </fill>
    <fill>
      <patternFill patternType="solid">
        <fgColor rgb="FF2E5FA3"/>
        <bgColor indexed="64"/>
      </patternFill>
    </fill>
    <fill>
      <patternFill patternType="solid">
        <fgColor theme="6" tint="0.39997558519241921"/>
        <bgColor indexed="64"/>
      </patternFill>
    </fill>
    <fill>
      <patternFill patternType="solid">
        <fgColor rgb="FF1B2A4A"/>
      </patternFill>
    </fill>
    <fill>
      <patternFill patternType="solid">
        <fgColor rgb="FF2E5FA3"/>
      </patternFill>
    </fill>
    <fill>
      <patternFill patternType="solid">
        <fgColor rgb="FF4A5568"/>
      </patternFill>
    </fill>
    <fill>
      <patternFill patternType="solid">
        <fgColor rgb="FFEEF2F7"/>
      </patternFill>
    </fill>
    <fill>
      <patternFill patternType="solid">
        <fgColor rgb="FFEEEDFE"/>
      </patternFill>
    </fill>
    <fill>
      <patternFill patternType="solid">
        <fgColor rgb="FFF7F9FC"/>
      </patternFill>
    </fill>
    <fill>
      <patternFill patternType="solid">
        <fgColor rgb="FFD6F0E2"/>
      </patternFill>
    </fill>
    <fill>
      <patternFill patternType="solid">
        <fgColor rgb="FFFFFFFF"/>
      </patternFill>
    </fill>
    <fill>
      <patternFill patternType="solid">
        <fgColor rgb="FFFEF3CD"/>
      </patternFill>
    </fill>
    <fill>
      <patternFill patternType="solid">
        <fgColor rgb="FFE1F5EE"/>
      </patternFill>
    </fill>
    <fill>
      <patternFill patternType="solid">
        <fgColor rgb="FFD6E4F0"/>
      </patternFill>
    </fill>
    <fill>
      <patternFill patternType="solid">
        <fgColor rgb="FFFAECE7"/>
      </patternFill>
    </fill>
    <fill>
      <patternFill patternType="solid">
        <fgColor theme="0"/>
        <bgColor indexed="64"/>
      </patternFill>
    </fill>
    <fill>
      <patternFill patternType="solid">
        <fgColor theme="1" tint="0.34998626667073579"/>
        <bgColor indexed="64"/>
      </patternFill>
    </fill>
    <fill>
      <patternFill patternType="solid">
        <fgColor rgb="FFFF7276"/>
        <bgColor indexed="64"/>
      </patternFill>
    </fill>
    <fill>
      <patternFill patternType="solid">
        <fgColor rgb="FFECF166"/>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rgb="FF8899AA"/>
      </left>
      <right style="thin">
        <color rgb="FF8899AA"/>
      </right>
      <top style="medium">
        <color rgb="FF1B2A4A"/>
      </top>
      <bottom style="medium">
        <color rgb="FF1B2A4A"/>
      </bottom>
      <diagonal/>
    </border>
    <border>
      <left style="thin">
        <color rgb="FFB0B8C8"/>
      </left>
      <right style="thin">
        <color rgb="FFB0B8C8"/>
      </right>
      <top style="thin">
        <color rgb="FFB0B8C8"/>
      </top>
      <bottom style="thin">
        <color rgb="FFB0B8C8"/>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8899AA"/>
      </left>
      <right style="medium">
        <color indexed="64"/>
      </right>
      <top style="medium">
        <color rgb="FF1B2A4A"/>
      </top>
      <bottom style="medium">
        <color rgb="FF1B2A4A"/>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16">
    <xf numFmtId="0" fontId="0" fillId="0" borderId="0" xfId="0"/>
    <xf numFmtId="0" fontId="2" fillId="9" borderId="1" xfId="0" applyFont="1" applyFill="1" applyBorder="1" applyAlignment="1">
      <alignment horizontal="center" vertical="center" wrapText="1"/>
    </xf>
    <xf numFmtId="0" fontId="7" fillId="16" borderId="3" xfId="0" applyFont="1" applyFill="1" applyBorder="1" applyAlignment="1">
      <alignment horizontal="left" vertical="center" wrapText="1"/>
    </xf>
    <xf numFmtId="0" fontId="6" fillId="18" borderId="3" xfId="0" applyFont="1" applyFill="1" applyBorder="1" applyAlignment="1">
      <alignment horizontal="center" vertical="center" wrapText="1"/>
    </xf>
    <xf numFmtId="0" fontId="7" fillId="18" borderId="3" xfId="0" applyFont="1" applyFill="1" applyBorder="1" applyAlignment="1">
      <alignment horizontal="left" vertical="center" wrapText="1"/>
    </xf>
    <xf numFmtId="0" fontId="2" fillId="13" borderId="2"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28" fillId="9" borderId="4" xfId="0" applyFont="1" applyFill="1" applyBorder="1" applyAlignment="1">
      <alignment horizontal="center"/>
    </xf>
    <xf numFmtId="0" fontId="29" fillId="0" borderId="5" xfId="0" applyFont="1" applyBorder="1" applyAlignment="1">
      <alignment horizontal="center" vertical="center"/>
    </xf>
    <xf numFmtId="165" fontId="29" fillId="0" borderId="5" xfId="0" applyNumberFormat="1" applyFont="1" applyBorder="1" applyAlignment="1">
      <alignment horizontal="center" vertical="center"/>
    </xf>
    <xf numFmtId="0" fontId="29" fillId="0" borderId="4" xfId="0" applyFont="1" applyBorder="1" applyAlignment="1">
      <alignment vertical="center" wrapText="1"/>
    </xf>
    <xf numFmtId="0" fontId="29" fillId="0" borderId="1" xfId="0" applyFont="1" applyBorder="1" applyAlignment="1">
      <alignment horizontal="center" vertical="center"/>
    </xf>
    <xf numFmtId="165" fontId="29" fillId="0" borderId="1" xfId="0" applyNumberFormat="1" applyFont="1" applyBorder="1" applyAlignment="1">
      <alignment horizontal="center" vertical="center"/>
    </xf>
    <xf numFmtId="0" fontId="29" fillId="0" borderId="6" xfId="0" applyFont="1" applyBorder="1" applyAlignment="1">
      <alignment vertical="center" wrapText="1"/>
    </xf>
    <xf numFmtId="0" fontId="30" fillId="0" borderId="0" xfId="0" applyFont="1" applyAlignment="1">
      <alignment horizontal="center"/>
    </xf>
    <xf numFmtId="0" fontId="30" fillId="0" borderId="0" xfId="0" applyFont="1"/>
    <xf numFmtId="0" fontId="31" fillId="0" borderId="0" xfId="0" applyFont="1" applyAlignment="1">
      <alignment horizontal="left"/>
    </xf>
    <xf numFmtId="0" fontId="31" fillId="0" borderId="0" xfId="0" applyFont="1" applyAlignment="1">
      <alignment horizontal="center"/>
    </xf>
    <xf numFmtId="0" fontId="2" fillId="9" borderId="18" xfId="0" applyFont="1" applyFill="1" applyBorder="1" applyAlignment="1">
      <alignment horizontal="center" vertical="center" wrapText="1"/>
    </xf>
    <xf numFmtId="0" fontId="2" fillId="9" borderId="19" xfId="0" applyFont="1" applyFill="1" applyBorder="1" applyAlignment="1">
      <alignment horizontal="center" vertical="center" wrapText="1"/>
    </xf>
    <xf numFmtId="0" fontId="2" fillId="9" borderId="20" xfId="0" applyFont="1" applyFill="1" applyBorder="1" applyAlignment="1">
      <alignment horizontal="center" vertical="center" wrapText="1"/>
    </xf>
    <xf numFmtId="0" fontId="31" fillId="23" borderId="21" xfId="0" applyFont="1" applyFill="1" applyBorder="1" applyAlignment="1">
      <alignment horizontal="center"/>
    </xf>
    <xf numFmtId="0" fontId="32" fillId="0" borderId="19" xfId="0" applyFont="1" applyBorder="1" applyAlignment="1">
      <alignment horizontal="center" vertical="center"/>
      <extLst>
        <ext xmlns:xfpb="http://schemas.microsoft.com/office/spreadsheetml/2022/featurepropertybag" uri="{C7286773-470A-42A8-94C5-96B5CB345126}">
          <xfpb:xfComplement i="0"/>
        </ext>
      </extLst>
    </xf>
    <xf numFmtId="0" fontId="32"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31" fillId="24" borderId="1" xfId="0" applyFont="1" applyFill="1" applyBorder="1" applyAlignment="1">
      <alignment horizontal="center" vertical="center"/>
    </xf>
    <xf numFmtId="0" fontId="31" fillId="24" borderId="20" xfId="0" applyFont="1" applyFill="1" applyBorder="1" applyAlignment="1">
      <alignment horizontal="center" vertical="center"/>
    </xf>
    <xf numFmtId="0" fontId="31" fillId="24" borderId="19" xfId="0" applyFont="1" applyFill="1" applyBorder="1" applyAlignment="1">
      <alignment horizontal="center" vertical="center"/>
    </xf>
    <xf numFmtId="0" fontId="32" fillId="24" borderId="1" xfId="0" applyFont="1" applyFill="1" applyBorder="1" applyAlignment="1">
      <alignment horizontal="center" vertical="center"/>
    </xf>
    <xf numFmtId="0" fontId="32" fillId="0" borderId="20" xfId="0" applyFont="1" applyBorder="1" applyAlignment="1">
      <alignment horizontal="center" vertical="center"/>
      <extLst>
        <ext xmlns:xfpb="http://schemas.microsoft.com/office/spreadsheetml/2022/featurepropertybag" uri="{C7286773-470A-42A8-94C5-96B5CB345126}">
          <xfpb:xfComplement i="0"/>
        </ext>
      </extLst>
    </xf>
    <xf numFmtId="0" fontId="31" fillId="23" borderId="22" xfId="0" applyFont="1" applyFill="1" applyBorder="1" applyAlignment="1">
      <alignment horizontal="center"/>
    </xf>
    <xf numFmtId="0" fontId="31" fillId="24" borderId="23" xfId="0" applyFont="1" applyFill="1" applyBorder="1" applyAlignment="1">
      <alignment horizontal="center" vertical="center"/>
    </xf>
    <xf numFmtId="0" fontId="31" fillId="24" borderId="24" xfId="0" applyFont="1" applyFill="1" applyBorder="1" applyAlignment="1">
      <alignment horizontal="center" vertical="center"/>
    </xf>
    <xf numFmtId="0" fontId="31" fillId="24" borderId="25" xfId="0" applyFont="1" applyFill="1" applyBorder="1" applyAlignment="1">
      <alignment horizontal="center" vertical="center"/>
    </xf>
    <xf numFmtId="0" fontId="30" fillId="23" borderId="0" xfId="0" applyFont="1" applyFill="1" applyAlignment="1">
      <alignment horizontal="center"/>
    </xf>
    <xf numFmtId="0" fontId="32" fillId="23" borderId="19" xfId="0" applyFont="1" applyFill="1" applyBorder="1" applyAlignment="1">
      <alignment horizontal="center" vertical="center"/>
      <extLst>
        <ext xmlns:xfpb="http://schemas.microsoft.com/office/spreadsheetml/2022/featurepropertybag" uri="{C7286773-470A-42A8-94C5-96B5CB345126}">
          <xfpb:xfComplement i="0"/>
        </ext>
      </extLst>
    </xf>
    <xf numFmtId="0" fontId="32" fillId="23"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31" fillId="23" borderId="0" xfId="0" applyFont="1" applyFill="1" applyAlignment="1">
      <alignment horizontal="center" vertical="center"/>
    </xf>
    <xf numFmtId="0" fontId="32" fillId="23" borderId="20" xfId="0" applyFont="1" applyFill="1" applyBorder="1" applyAlignment="1">
      <alignment horizontal="center" vertical="center"/>
      <extLst>
        <ext xmlns:xfpb="http://schemas.microsoft.com/office/spreadsheetml/2022/featurepropertybag" uri="{C7286773-470A-42A8-94C5-96B5CB345126}">
          <xfpb:xfComplement i="0"/>
        </ext>
      </extLst>
    </xf>
    <xf numFmtId="0" fontId="32" fillId="23" borderId="0" xfId="0" applyFont="1" applyFill="1" applyAlignment="1">
      <alignment horizontal="center" vertical="center"/>
    </xf>
    <xf numFmtId="0" fontId="1" fillId="23" borderId="0" xfId="0" applyFont="1" applyFill="1" applyAlignment="1">
      <alignment vertical="center" wrapText="1"/>
    </xf>
    <xf numFmtId="0" fontId="2" fillId="9" borderId="21" xfId="0" applyFont="1" applyFill="1" applyBorder="1" applyAlignment="1">
      <alignment horizontal="center" vertical="center" wrapText="1"/>
    </xf>
    <xf numFmtId="0" fontId="2" fillId="23" borderId="0" xfId="0" applyFont="1" applyFill="1" applyAlignment="1">
      <alignment horizontal="center" vertical="center" wrapText="1"/>
    </xf>
    <xf numFmtId="0" fontId="32" fillId="0" borderId="24" xfId="0" applyFont="1" applyBorder="1" applyAlignment="1">
      <alignment horizontal="center" vertical="center"/>
      <extLst>
        <ext xmlns:xfpb="http://schemas.microsoft.com/office/spreadsheetml/2022/featurepropertybag" uri="{C7286773-470A-42A8-94C5-96B5CB345126}">
          <xfpb:xfComplement i="0"/>
        </ext>
      </extLst>
    </xf>
    <xf numFmtId="0" fontId="32" fillId="0" borderId="25" xfId="0" applyFont="1" applyBorder="1" applyAlignment="1">
      <alignment horizontal="center" vertical="center"/>
      <extLst>
        <ext xmlns:xfpb="http://schemas.microsoft.com/office/spreadsheetml/2022/featurepropertybag" uri="{C7286773-470A-42A8-94C5-96B5CB345126}">
          <xfpb:xfComplement i="0"/>
        </ext>
      </extLst>
    </xf>
    <xf numFmtId="0" fontId="2" fillId="13" borderId="26" xfId="0" applyFont="1" applyFill="1" applyBorder="1" applyAlignment="1">
      <alignment horizontal="center" vertical="center" wrapText="1"/>
    </xf>
    <xf numFmtId="0" fontId="32" fillId="0" borderId="27" xfId="0" applyFont="1" applyBorder="1" applyAlignment="1">
      <alignment horizontal="center" vertical="center"/>
      <extLst>
        <ext xmlns:xfpb="http://schemas.microsoft.com/office/spreadsheetml/2022/featurepropertybag" uri="{C7286773-470A-42A8-94C5-96B5CB345126}">
          <xfpb:xfComplement i="0"/>
        </ext>
      </extLst>
    </xf>
    <xf numFmtId="0" fontId="31" fillId="24" borderId="28" xfId="0" applyFont="1" applyFill="1" applyBorder="1" applyAlignment="1">
      <alignment horizontal="center" vertical="center"/>
    </xf>
    <xf numFmtId="0" fontId="0" fillId="0" borderId="0" xfId="0" applyProtection="1">
      <protection locked="0"/>
    </xf>
    <xf numFmtId="0" fontId="13" fillId="0" borderId="0" xfId="0" applyFont="1" applyProtection="1">
      <protection locked="0"/>
    </xf>
    <xf numFmtId="0" fontId="33" fillId="0" borderId="0" xfId="0" applyFont="1"/>
    <xf numFmtId="0" fontId="0" fillId="0" borderId="0" xfId="0" applyAlignment="1">
      <alignment horizontal="center"/>
    </xf>
    <xf numFmtId="0" fontId="35" fillId="0" borderId="1" xfId="0" applyFont="1" applyBorder="1" applyAlignment="1">
      <alignment horizontal="left" vertical="top" wrapText="1"/>
    </xf>
    <xf numFmtId="0" fontId="7" fillId="16" borderId="1" xfId="0" applyFont="1" applyFill="1" applyBorder="1" applyAlignment="1" applyProtection="1">
      <alignment horizontal="left" vertical="center" wrapText="1"/>
      <protection locked="0"/>
    </xf>
    <xf numFmtId="0" fontId="7" fillId="18" borderId="1" xfId="0" applyFont="1" applyFill="1" applyBorder="1" applyAlignment="1" applyProtection="1">
      <alignment horizontal="left" vertical="center" wrapText="1"/>
      <protection locked="0"/>
    </xf>
    <xf numFmtId="0" fontId="39" fillId="0" borderId="1" xfId="0" applyFont="1" applyBorder="1" applyAlignment="1">
      <alignment horizontal="left" vertical="center" wrapText="1" readingOrder="1"/>
    </xf>
    <xf numFmtId="0" fontId="38" fillId="0" borderId="1" xfId="0" applyFont="1" applyBorder="1" applyAlignment="1">
      <alignment horizontal="left" vertical="center" wrapText="1" readingOrder="1"/>
    </xf>
    <xf numFmtId="0" fontId="40" fillId="0" borderId="1" xfId="0" applyFont="1" applyBorder="1" applyAlignment="1">
      <alignment horizontal="center" vertical="center" readingOrder="1"/>
    </xf>
    <xf numFmtId="0" fontId="38" fillId="0" borderId="1" xfId="0" applyFont="1" applyBorder="1" applyAlignment="1">
      <alignment vertical="top" wrapText="1"/>
    </xf>
    <xf numFmtId="0" fontId="7" fillId="16" borderId="1" xfId="0" applyFont="1" applyFill="1" applyBorder="1" applyAlignment="1" applyProtection="1">
      <alignment horizontal="center" vertical="center" wrapText="1"/>
      <protection locked="0"/>
    </xf>
    <xf numFmtId="0" fontId="40" fillId="0" borderId="1" xfId="0" applyFont="1" applyBorder="1" applyAlignment="1">
      <alignment horizontal="left" vertical="center" wrapText="1" readingOrder="1"/>
    </xf>
    <xf numFmtId="0" fontId="11" fillId="19" borderId="1" xfId="0" applyFont="1" applyFill="1" applyBorder="1" applyAlignment="1" applyProtection="1">
      <alignment horizontal="center" vertical="center" wrapText="1"/>
      <protection locked="0"/>
    </xf>
    <xf numFmtId="165" fontId="7" fillId="16" borderId="1" xfId="0" applyNumberFormat="1" applyFont="1" applyFill="1" applyBorder="1" applyAlignment="1" applyProtection="1">
      <alignment horizontal="center" vertical="center" wrapText="1"/>
      <protection locked="0"/>
    </xf>
    <xf numFmtId="0" fontId="38" fillId="0" borderId="1" xfId="0" applyFont="1" applyBorder="1" applyAlignment="1">
      <alignment horizontal="center" vertical="center" wrapText="1" readingOrder="1"/>
    </xf>
    <xf numFmtId="0" fontId="42" fillId="0" borderId="1" xfId="0" applyFont="1" applyBorder="1" applyAlignment="1">
      <alignment horizontal="left" vertical="center" wrapText="1" readingOrder="1"/>
    </xf>
    <xf numFmtId="0" fontId="7" fillId="18" borderId="1" xfId="0" applyFont="1" applyFill="1" applyBorder="1" applyAlignment="1" applyProtection="1">
      <alignment horizontal="center" vertical="center" wrapText="1"/>
      <protection locked="0"/>
    </xf>
    <xf numFmtId="0" fontId="6" fillId="21" borderId="1" xfId="0" applyFont="1" applyFill="1" applyBorder="1" applyAlignment="1" applyProtection="1">
      <alignment horizontal="center" vertical="center" wrapText="1"/>
      <protection locked="0"/>
    </xf>
    <xf numFmtId="0" fontId="10" fillId="8" borderId="1" xfId="0" applyFont="1" applyFill="1" applyBorder="1" applyAlignment="1" applyProtection="1">
      <alignment horizontal="center" vertical="center" wrapText="1"/>
      <protection locked="0"/>
    </xf>
    <xf numFmtId="165" fontId="7" fillId="18" borderId="1" xfId="0" applyNumberFormat="1" applyFont="1" applyFill="1" applyBorder="1" applyAlignment="1" applyProtection="1">
      <alignment horizontal="center" vertical="center" wrapText="1"/>
      <protection locked="0"/>
    </xf>
    <xf numFmtId="0" fontId="6" fillId="8" borderId="1" xfId="0" applyFont="1" applyFill="1" applyBorder="1" applyAlignment="1" applyProtection="1">
      <alignment horizontal="center" vertical="center" wrapText="1"/>
      <protection locked="0"/>
    </xf>
    <xf numFmtId="0" fontId="40" fillId="0" borderId="1" xfId="0" applyFont="1" applyBorder="1" applyAlignment="1">
      <alignment horizontal="justify" vertical="center" readingOrder="1"/>
    </xf>
    <xf numFmtId="0" fontId="6" fillId="26" borderId="3" xfId="0" applyFont="1" applyFill="1" applyBorder="1" applyAlignment="1">
      <alignment horizontal="center" vertical="center" wrapText="1"/>
    </xf>
    <xf numFmtId="0" fontId="6" fillId="25" borderId="3" xfId="0" applyFont="1" applyFill="1" applyBorder="1" applyAlignment="1">
      <alignment horizontal="center" vertical="center" wrapText="1"/>
    </xf>
    <xf numFmtId="165" fontId="7" fillId="18" borderId="3" xfId="0" applyNumberFormat="1" applyFont="1" applyFill="1" applyBorder="1" applyAlignment="1">
      <alignment horizontal="center" vertical="center" wrapText="1"/>
    </xf>
    <xf numFmtId="165" fontId="7" fillId="16" borderId="3" xfId="0" applyNumberFormat="1" applyFont="1" applyFill="1" applyBorder="1" applyAlignment="1">
      <alignment horizontal="center" vertical="center" wrapText="1"/>
    </xf>
    <xf numFmtId="0" fontId="38" fillId="0" borderId="1" xfId="0" applyFont="1" applyBorder="1" applyAlignment="1">
      <alignment vertical="top"/>
    </xf>
    <xf numFmtId="0" fontId="40" fillId="0" borderId="1" xfId="0" applyFont="1" applyBorder="1" applyAlignment="1">
      <alignment vertical="top" wrapText="1"/>
    </xf>
    <xf numFmtId="0" fontId="14" fillId="14"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6" borderId="1" xfId="0" applyFont="1" applyFill="1" applyBorder="1" applyAlignment="1">
      <alignment horizontal="left" vertical="center" wrapText="1"/>
    </xf>
    <xf numFmtId="0" fontId="18" fillId="16" borderId="1" xfId="0" applyFont="1" applyFill="1" applyBorder="1" applyAlignment="1">
      <alignment horizontal="left" vertical="center" wrapText="1"/>
    </xf>
    <xf numFmtId="0" fontId="19" fillId="16" borderId="1" xfId="0" applyFont="1" applyFill="1" applyBorder="1" applyAlignment="1">
      <alignment horizontal="left" vertical="center" wrapText="1"/>
    </xf>
    <xf numFmtId="0" fontId="20" fillId="17" borderId="1" xfId="0" applyFont="1" applyFill="1" applyBorder="1" applyAlignment="1">
      <alignment horizontal="center" vertical="center"/>
    </xf>
    <xf numFmtId="0" fontId="17" fillId="18" borderId="1" xfId="0" applyFont="1" applyFill="1" applyBorder="1" applyAlignment="1">
      <alignment horizontal="left" vertical="center" wrapText="1"/>
    </xf>
    <xf numFmtId="0" fontId="22" fillId="19" borderId="1" xfId="0" applyFont="1" applyFill="1" applyBorder="1" applyAlignment="1">
      <alignment horizontal="center" vertical="center" wrapText="1"/>
    </xf>
    <xf numFmtId="0" fontId="18" fillId="18" borderId="1" xfId="0" applyFont="1" applyFill="1" applyBorder="1" applyAlignment="1">
      <alignment horizontal="left" vertical="center" wrapText="1"/>
    </xf>
    <xf numFmtId="0" fontId="19" fillId="18" borderId="1" xfId="0" applyFont="1" applyFill="1" applyBorder="1" applyAlignment="1">
      <alignment horizontal="left" vertical="center" wrapText="1"/>
    </xf>
    <xf numFmtId="0" fontId="23" fillId="20" borderId="1" xfId="0" applyFont="1" applyFill="1" applyBorder="1" applyAlignment="1">
      <alignment horizontal="center" vertical="center" wrapText="1"/>
    </xf>
    <xf numFmtId="0" fontId="22" fillId="19" borderId="1" xfId="0" applyFont="1" applyFill="1" applyBorder="1" applyAlignment="1">
      <alignment horizontal="center" vertical="center"/>
    </xf>
    <xf numFmtId="0" fontId="24" fillId="14" borderId="1" xfId="0" applyFont="1" applyFill="1" applyBorder="1" applyAlignment="1">
      <alignment horizontal="center" vertical="center"/>
    </xf>
    <xf numFmtId="0" fontId="25" fillId="21" borderId="1" xfId="0" applyFont="1" applyFill="1" applyBorder="1" applyAlignment="1">
      <alignment horizontal="center" vertical="center" wrapText="1"/>
    </xf>
    <xf numFmtId="0" fontId="26" fillId="22" borderId="1" xfId="0" applyFont="1" applyFill="1" applyBorder="1" applyAlignment="1">
      <alignment horizontal="center" vertical="center" wrapText="1"/>
    </xf>
    <xf numFmtId="0" fontId="7" fillId="16" borderId="1" xfId="0" applyFont="1" applyFill="1" applyBorder="1" applyAlignment="1" applyProtection="1">
      <alignment horizontal="left" vertical="top" wrapText="1"/>
      <protection locked="0"/>
    </xf>
    <xf numFmtId="0" fontId="7" fillId="18" borderId="1"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8" fillId="17" borderId="1" xfId="0" applyFont="1" applyFill="1" applyBorder="1" applyAlignment="1" applyProtection="1">
      <alignment horizontal="center" vertical="center" wrapText="1"/>
      <protection locked="0"/>
    </xf>
    <xf numFmtId="166" fontId="7" fillId="18" borderId="1" xfId="0" applyNumberFormat="1" applyFont="1" applyFill="1" applyBorder="1" applyAlignment="1" applyProtection="1">
      <alignment horizontal="center" vertical="center" wrapText="1"/>
      <protection locked="0"/>
    </xf>
    <xf numFmtId="9" fontId="7" fillId="18" borderId="1" xfId="0" applyNumberFormat="1" applyFont="1" applyFill="1" applyBorder="1" applyAlignment="1" applyProtection="1">
      <alignment horizontal="center" vertical="center" wrapText="1"/>
      <protection locked="0"/>
    </xf>
    <xf numFmtId="0" fontId="43" fillId="0" borderId="1" xfId="0" applyFont="1" applyBorder="1" applyAlignment="1">
      <alignment horizontal="left" vertical="center"/>
    </xf>
    <xf numFmtId="165" fontId="7" fillId="18" borderId="1" xfId="0" applyNumberFormat="1" applyFont="1" applyFill="1" applyBorder="1" applyAlignment="1">
      <alignment horizontal="center" vertical="center" wrapText="1"/>
    </xf>
    <xf numFmtId="0" fontId="9" fillId="17" borderId="1" xfId="0" applyFont="1" applyFill="1" applyBorder="1" applyAlignment="1" applyProtection="1">
      <alignment horizontal="center" vertical="center" wrapText="1"/>
      <protection locked="0"/>
    </xf>
    <xf numFmtId="0" fontId="36" fillId="25" borderId="1" xfId="0" applyFont="1" applyFill="1" applyBorder="1" applyAlignment="1" applyProtection="1">
      <alignment horizontal="center" vertical="center" wrapText="1"/>
      <protection locked="0"/>
    </xf>
    <xf numFmtId="0" fontId="2" fillId="13" borderId="18" xfId="0" applyFont="1" applyFill="1" applyBorder="1" applyAlignment="1">
      <alignment horizontal="center" vertical="center" wrapText="1"/>
    </xf>
    <xf numFmtId="0" fontId="2" fillId="13" borderId="20" xfId="0" applyFont="1" applyFill="1" applyBorder="1" applyAlignment="1">
      <alignment horizontal="center" vertical="center" wrapText="1"/>
    </xf>
    <xf numFmtId="0" fontId="6" fillId="18" borderId="18" xfId="0" applyFont="1" applyFill="1" applyBorder="1" applyAlignment="1" applyProtection="1">
      <alignment horizontal="center" vertical="center" wrapText="1"/>
      <protection locked="0"/>
    </xf>
    <xf numFmtId="165" fontId="7" fillId="18" borderId="20" xfId="0" applyNumberFormat="1" applyFont="1" applyFill="1" applyBorder="1" applyAlignment="1" applyProtection="1">
      <alignment horizontal="center" vertical="center" wrapText="1"/>
      <protection locked="0"/>
    </xf>
    <xf numFmtId="0" fontId="6" fillId="16" borderId="18" xfId="0" applyFont="1" applyFill="1" applyBorder="1" applyAlignment="1" applyProtection="1">
      <alignment horizontal="center" vertical="center" wrapText="1"/>
      <protection locked="0"/>
    </xf>
    <xf numFmtId="165" fontId="7" fillId="16" borderId="20" xfId="0" applyNumberFormat="1" applyFont="1" applyFill="1" applyBorder="1" applyAlignment="1" applyProtection="1">
      <alignment horizontal="center" vertical="center" wrapText="1"/>
      <protection locked="0"/>
    </xf>
    <xf numFmtId="0" fontId="7" fillId="16" borderId="24" xfId="0" applyFont="1" applyFill="1" applyBorder="1" applyAlignment="1" applyProtection="1">
      <alignment horizontal="left" vertical="center" wrapText="1"/>
      <protection locked="0"/>
    </xf>
    <xf numFmtId="165" fontId="7" fillId="16" borderId="24" xfId="0" applyNumberFormat="1" applyFont="1" applyFill="1" applyBorder="1" applyAlignment="1" applyProtection="1">
      <alignment horizontal="center" vertical="center" wrapText="1"/>
      <protection locked="0"/>
    </xf>
    <xf numFmtId="0" fontId="9" fillId="17" borderId="24" xfId="0" applyFont="1" applyFill="1" applyBorder="1" applyAlignment="1" applyProtection="1">
      <alignment horizontal="center" vertical="center" wrapText="1"/>
      <protection locked="0"/>
    </xf>
    <xf numFmtId="0" fontId="7" fillId="16" borderId="24" xfId="0" applyFont="1" applyFill="1" applyBorder="1" applyAlignment="1" applyProtection="1">
      <alignment horizontal="center" vertical="center" wrapText="1"/>
      <protection locked="0"/>
    </xf>
    <xf numFmtId="165" fontId="7" fillId="16" borderId="25" xfId="0" applyNumberFormat="1" applyFont="1" applyFill="1" applyBorder="1" applyAlignment="1" applyProtection="1">
      <alignment horizontal="center" vertical="center" wrapText="1"/>
      <protection locked="0"/>
    </xf>
    <xf numFmtId="0" fontId="3" fillId="18" borderId="18" xfId="0" applyFont="1" applyFill="1" applyBorder="1" applyAlignment="1">
      <alignment horizontal="left" vertical="center" wrapText="1"/>
    </xf>
    <xf numFmtId="0" fontId="4" fillId="18" borderId="20" xfId="0" applyFont="1" applyFill="1" applyBorder="1" applyAlignment="1">
      <alignment horizontal="left" vertical="center" wrapText="1"/>
    </xf>
    <xf numFmtId="0" fontId="3" fillId="16" borderId="18" xfId="0" applyFont="1" applyFill="1" applyBorder="1" applyAlignment="1">
      <alignment horizontal="left" vertical="center" wrapText="1"/>
    </xf>
    <xf numFmtId="0" fontId="4" fillId="16" borderId="20" xfId="0" applyFont="1" applyFill="1" applyBorder="1" applyAlignment="1">
      <alignment horizontal="left" vertical="center" wrapText="1"/>
    </xf>
    <xf numFmtId="0" fontId="3" fillId="18" borderId="20" xfId="0" applyFont="1" applyFill="1" applyBorder="1" applyAlignment="1">
      <alignment horizontal="left" vertical="center" wrapText="1"/>
    </xf>
    <xf numFmtId="0" fontId="3" fillId="16" borderId="32" xfId="0" applyFont="1" applyFill="1" applyBorder="1" applyAlignment="1">
      <alignment horizontal="left" vertical="center" wrapText="1"/>
    </xf>
    <xf numFmtId="0" fontId="3" fillId="16" borderId="25" xfId="0" applyFont="1" applyFill="1" applyBorder="1" applyAlignment="1">
      <alignment horizontal="left" vertical="center" wrapText="1"/>
    </xf>
    <xf numFmtId="0" fontId="14" fillId="14" borderId="18" xfId="0" applyFont="1" applyFill="1" applyBorder="1" applyAlignment="1">
      <alignment horizontal="center" vertical="center" wrapText="1"/>
    </xf>
    <xf numFmtId="0" fontId="14" fillId="14" borderId="20" xfId="0" applyFont="1" applyFill="1" applyBorder="1" applyAlignment="1">
      <alignment horizontal="center" vertical="center" wrapText="1"/>
    </xf>
    <xf numFmtId="0" fontId="15" fillId="14" borderId="18" xfId="0" applyFont="1" applyFill="1" applyBorder="1" applyAlignment="1">
      <alignment horizontal="center" vertical="center" wrapText="1"/>
    </xf>
    <xf numFmtId="0" fontId="15" fillId="14" borderId="20"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16" fillId="15" borderId="18" xfId="0" applyFont="1" applyFill="1" applyBorder="1" applyAlignment="1">
      <alignment horizontal="center" vertical="center" wrapText="1"/>
    </xf>
    <xf numFmtId="0" fontId="21" fillId="16" borderId="20" xfId="0" applyFont="1" applyFill="1" applyBorder="1" applyAlignment="1">
      <alignment horizontal="left" vertical="center" wrapText="1"/>
    </xf>
    <xf numFmtId="0" fontId="21" fillId="18" borderId="20" xfId="0" applyFont="1" applyFill="1" applyBorder="1" applyAlignment="1">
      <alignment horizontal="left" vertical="center" wrapText="1"/>
    </xf>
    <xf numFmtId="0" fontId="23" fillId="20" borderId="18" xfId="0" applyFont="1" applyFill="1" applyBorder="1" applyAlignment="1">
      <alignment horizontal="center" vertical="center" wrapText="1"/>
    </xf>
    <xf numFmtId="0" fontId="22" fillId="19" borderId="18" xfId="0" applyFont="1" applyFill="1" applyBorder="1" applyAlignment="1">
      <alignment horizontal="center" vertical="center" wrapText="1"/>
    </xf>
    <xf numFmtId="0" fontId="25" fillId="21" borderId="18" xfId="0" applyFont="1" applyFill="1" applyBorder="1" applyAlignment="1">
      <alignment horizontal="center" vertical="center" wrapText="1"/>
    </xf>
    <xf numFmtId="0" fontId="26" fillId="22" borderId="18" xfId="0" applyFont="1" applyFill="1" applyBorder="1" applyAlignment="1">
      <alignment horizontal="center" vertical="center" wrapText="1"/>
    </xf>
    <xf numFmtId="0" fontId="26" fillId="22" borderId="32" xfId="0" applyFont="1" applyFill="1" applyBorder="1" applyAlignment="1">
      <alignment horizontal="center" vertical="center" wrapText="1"/>
    </xf>
    <xf numFmtId="0" fontId="26" fillId="22" borderId="24" xfId="0" applyFont="1" applyFill="1" applyBorder="1" applyAlignment="1">
      <alignment horizontal="center" vertical="center" wrapText="1"/>
    </xf>
    <xf numFmtId="0" fontId="17" fillId="16" borderId="24" xfId="0" applyFont="1" applyFill="1" applyBorder="1" applyAlignment="1">
      <alignment horizontal="left" vertical="center" wrapText="1"/>
    </xf>
    <xf numFmtId="0" fontId="16" fillId="15" borderId="24" xfId="0" applyFont="1" applyFill="1" applyBorder="1" applyAlignment="1">
      <alignment horizontal="center" vertical="center" wrapText="1"/>
    </xf>
    <xf numFmtId="0" fontId="18" fillId="16" borderId="24" xfId="0" applyFont="1" applyFill="1" applyBorder="1" applyAlignment="1">
      <alignment horizontal="left" vertical="center" wrapText="1"/>
    </xf>
    <xf numFmtId="0" fontId="19" fillId="16" borderId="24" xfId="0" applyFont="1" applyFill="1" applyBorder="1" applyAlignment="1">
      <alignment horizontal="left" vertical="center" wrapText="1"/>
    </xf>
    <xf numFmtId="0" fontId="24" fillId="14" borderId="24" xfId="0" applyFont="1" applyFill="1" applyBorder="1" applyAlignment="1">
      <alignment horizontal="center" vertical="center"/>
    </xf>
    <xf numFmtId="0" fontId="21" fillId="16" borderId="25" xfId="0" applyFont="1" applyFill="1" applyBorder="1" applyAlignment="1">
      <alignment horizontal="left" vertical="center" wrapText="1"/>
    </xf>
    <xf numFmtId="0" fontId="7" fillId="18" borderId="18" xfId="0" applyFont="1" applyFill="1" applyBorder="1" applyAlignment="1" applyProtection="1">
      <alignment horizontal="left" vertical="center" wrapText="1"/>
      <protection locked="0"/>
    </xf>
    <xf numFmtId="0" fontId="7" fillId="18" borderId="20" xfId="0" applyFont="1" applyFill="1" applyBorder="1" applyAlignment="1" applyProtection="1">
      <alignment horizontal="left" vertical="center" wrapText="1"/>
      <protection locked="0"/>
    </xf>
    <xf numFmtId="0" fontId="7" fillId="18" borderId="18" xfId="0" applyFont="1" applyFill="1" applyBorder="1" applyAlignment="1">
      <alignment horizontal="left" vertical="center" wrapText="1"/>
    </xf>
    <xf numFmtId="0" fontId="7" fillId="16" borderId="20" xfId="0" applyFont="1" applyFill="1" applyBorder="1" applyAlignment="1" applyProtection="1">
      <alignment horizontal="left" vertical="center" wrapText="1"/>
      <protection locked="0"/>
    </xf>
    <xf numFmtId="0" fontId="7" fillId="18" borderId="24" xfId="0" applyFont="1" applyFill="1" applyBorder="1" applyAlignment="1" applyProtection="1">
      <alignment horizontal="center" vertical="center" wrapText="1"/>
      <protection locked="0"/>
    </xf>
    <xf numFmtId="9" fontId="7" fillId="18" borderId="24" xfId="0" applyNumberFormat="1" applyFont="1" applyFill="1" applyBorder="1" applyAlignment="1" applyProtection="1">
      <alignment horizontal="center" vertical="center" wrapText="1"/>
      <protection locked="0"/>
    </xf>
    <xf numFmtId="0" fontId="7" fillId="18" borderId="32" xfId="0" applyFont="1" applyFill="1" applyBorder="1" applyAlignment="1">
      <alignment horizontal="left" vertical="center" wrapText="1"/>
    </xf>
    <xf numFmtId="0" fontId="7" fillId="18" borderId="24" xfId="0" applyFont="1" applyFill="1" applyBorder="1" applyAlignment="1">
      <alignment horizontal="left" vertical="center" wrapText="1"/>
    </xf>
    <xf numFmtId="165" fontId="7" fillId="18" borderId="24" xfId="0" applyNumberFormat="1" applyFont="1" applyFill="1" applyBorder="1" applyAlignment="1">
      <alignment horizontal="center" vertical="center" wrapText="1"/>
    </xf>
    <xf numFmtId="0" fontId="7" fillId="16" borderId="25" xfId="0" applyFont="1" applyFill="1" applyBorder="1" applyAlignment="1" applyProtection="1">
      <alignment horizontal="left" vertical="center" wrapText="1"/>
      <protection locked="0"/>
    </xf>
    <xf numFmtId="0" fontId="35" fillId="0" borderId="1" xfId="0" applyFont="1" applyBorder="1" applyAlignment="1">
      <alignment horizontal="center" vertical="center" wrapText="1" readingOrder="1"/>
    </xf>
    <xf numFmtId="0" fontId="35" fillId="0" borderId="1" xfId="0" applyFont="1" applyBorder="1" applyAlignment="1">
      <alignment horizontal="center" vertical="center" wrapText="1"/>
    </xf>
    <xf numFmtId="0" fontId="35" fillId="0" borderId="24" xfId="0" applyFont="1" applyBorder="1" applyAlignment="1">
      <alignment horizontal="center" vertical="center" wrapText="1" readingOrder="1"/>
    </xf>
    <xf numFmtId="0" fontId="35" fillId="0" borderId="1" xfId="0" applyFont="1" applyBorder="1" applyAlignment="1">
      <alignment horizontal="left" vertical="top" wrapText="1" readingOrder="1"/>
    </xf>
    <xf numFmtId="0" fontId="4" fillId="0" borderId="1" xfId="0" applyFont="1" applyBorder="1" applyAlignment="1">
      <alignment horizontal="left" vertical="top" wrapText="1" readingOrder="1"/>
    </xf>
    <xf numFmtId="0" fontId="35" fillId="0" borderId="24" xfId="0" applyFont="1" applyBorder="1" applyAlignment="1">
      <alignment horizontal="left" vertical="top" wrapText="1" readingOrder="1"/>
    </xf>
    <xf numFmtId="14" fontId="7" fillId="16" borderId="20" xfId="0" applyNumberFormat="1" applyFont="1" applyFill="1" applyBorder="1" applyAlignment="1" applyProtection="1">
      <alignment horizontal="center" vertical="center" wrapText="1"/>
      <protection locked="0"/>
    </xf>
    <xf numFmtId="0" fontId="6" fillId="8" borderId="24" xfId="0" applyFont="1" applyFill="1" applyBorder="1" applyAlignment="1" applyProtection="1">
      <alignment horizontal="center" vertical="center" wrapText="1"/>
      <protection locked="0"/>
    </xf>
    <xf numFmtId="0" fontId="11" fillId="19" borderId="24" xfId="0" applyFont="1" applyFill="1" applyBorder="1" applyAlignment="1" applyProtection="1">
      <alignment horizontal="center" vertical="center" wrapText="1"/>
      <protection locked="0"/>
    </xf>
    <xf numFmtId="0" fontId="40" fillId="0" borderId="24" xfId="0" applyFont="1" applyBorder="1" applyAlignment="1">
      <alignment horizontal="left" vertical="center" wrapText="1" readingOrder="1"/>
    </xf>
    <xf numFmtId="0" fontId="40" fillId="0" borderId="24" xfId="0" applyFont="1" applyBorder="1" applyAlignment="1">
      <alignment wrapText="1"/>
    </xf>
    <xf numFmtId="14" fontId="7" fillId="16" borderId="25" xfId="0" applyNumberFormat="1" applyFont="1" applyFill="1" applyBorder="1" applyAlignment="1" applyProtection="1">
      <alignment horizontal="center" vertical="center" wrapText="1"/>
      <protection locked="0"/>
    </xf>
    <xf numFmtId="0" fontId="44" fillId="18" borderId="18" xfId="0" applyFont="1" applyFill="1" applyBorder="1" applyAlignment="1" applyProtection="1">
      <alignment horizontal="center" vertical="center" wrapText="1"/>
      <protection locked="0"/>
    </xf>
    <xf numFmtId="0" fontId="44" fillId="16" borderId="18" xfId="0" applyFont="1" applyFill="1" applyBorder="1" applyAlignment="1" applyProtection="1">
      <alignment horizontal="center" vertical="center" wrapText="1"/>
      <protection locked="0"/>
    </xf>
    <xf numFmtId="0" fontId="44" fillId="18" borderId="32" xfId="0" applyFont="1" applyFill="1" applyBorder="1" applyAlignment="1" applyProtection="1">
      <alignment horizontal="center" vertical="center" wrapText="1"/>
      <protection locked="0"/>
    </xf>
    <xf numFmtId="0" fontId="44" fillId="16" borderId="32" xfId="0" applyFont="1" applyFill="1" applyBorder="1" applyAlignment="1" applyProtection="1">
      <alignment horizontal="center" vertical="center" wrapText="1"/>
      <protection locked="0"/>
    </xf>
    <xf numFmtId="0" fontId="6" fillId="17" borderId="20" xfId="0" applyFont="1" applyFill="1" applyBorder="1" applyAlignment="1" applyProtection="1">
      <alignment horizontal="center" vertical="center" wrapText="1"/>
      <protection locked="0"/>
    </xf>
    <xf numFmtId="0" fontId="6" fillId="21" borderId="20" xfId="0" applyFont="1" applyFill="1" applyBorder="1" applyAlignment="1" applyProtection="1">
      <alignment horizontal="center" vertical="center" wrapText="1"/>
      <protection locked="0"/>
    </xf>
    <xf numFmtId="0" fontId="6" fillId="21" borderId="25" xfId="0" applyFont="1" applyFill="1" applyBorder="1" applyAlignment="1" applyProtection="1">
      <alignment horizontal="center" vertical="center" wrapText="1"/>
      <protection locked="0"/>
    </xf>
    <xf numFmtId="164" fontId="6" fillId="18" borderId="1" xfId="0" applyNumberFormat="1" applyFont="1" applyFill="1" applyBorder="1" applyAlignment="1" applyProtection="1">
      <alignment horizontal="center" vertical="center" wrapText="1"/>
      <protection locked="0"/>
    </xf>
    <xf numFmtId="0" fontId="8" fillId="19" borderId="1" xfId="0" applyFont="1" applyFill="1" applyBorder="1" applyAlignment="1" applyProtection="1">
      <alignment horizontal="center" vertical="center" wrapText="1"/>
      <protection locked="0"/>
    </xf>
    <xf numFmtId="164" fontId="6" fillId="18" borderId="24" xfId="0" applyNumberFormat="1" applyFont="1" applyFill="1" applyBorder="1" applyAlignment="1" applyProtection="1">
      <alignment horizontal="center" vertical="center" wrapText="1"/>
      <protection locked="0"/>
    </xf>
    <xf numFmtId="0" fontId="8" fillId="21" borderId="24" xfId="0" applyFont="1" applyFill="1" applyBorder="1" applyAlignment="1" applyProtection="1">
      <alignment horizontal="center" vertical="center" wrapText="1"/>
      <protection locked="0"/>
    </xf>
    <xf numFmtId="0" fontId="5" fillId="10"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11" borderId="29" xfId="0" applyFont="1" applyFill="1" applyBorder="1" applyAlignment="1">
      <alignment horizontal="center" vertical="center" wrapText="1"/>
    </xf>
    <xf numFmtId="0" fontId="30" fillId="0" borderId="7" xfId="0" applyFont="1" applyBorder="1" applyAlignment="1">
      <alignment horizontal="left" vertical="top" wrapText="1"/>
    </xf>
    <xf numFmtId="0" fontId="30" fillId="0" borderId="8" xfId="0" applyFont="1" applyBorder="1" applyAlignment="1">
      <alignment horizontal="left" vertical="top"/>
    </xf>
    <xf numFmtId="0" fontId="30" fillId="0" borderId="9" xfId="0" applyFont="1" applyBorder="1" applyAlignment="1">
      <alignment horizontal="left" vertical="top"/>
    </xf>
    <xf numFmtId="0" fontId="30" fillId="0" borderId="10" xfId="0" applyFont="1" applyBorder="1" applyAlignment="1">
      <alignment horizontal="left" vertical="top"/>
    </xf>
    <xf numFmtId="0" fontId="30" fillId="0" borderId="0" xfId="0" applyFont="1" applyAlignment="1">
      <alignment horizontal="left" vertical="top"/>
    </xf>
    <xf numFmtId="0" fontId="30" fillId="0" borderId="11" xfId="0" applyFont="1" applyBorder="1" applyAlignment="1">
      <alignment horizontal="left" vertical="top"/>
    </xf>
    <xf numFmtId="0" fontId="30" fillId="0" borderId="12" xfId="0" applyFont="1" applyBorder="1" applyAlignment="1">
      <alignment horizontal="left" vertical="top"/>
    </xf>
    <xf numFmtId="0" fontId="30" fillId="0" borderId="13" xfId="0" applyFont="1" applyBorder="1" applyAlignment="1">
      <alignment horizontal="left" vertical="top"/>
    </xf>
    <xf numFmtId="0" fontId="30" fillId="0" borderId="14" xfId="0" applyFont="1" applyBorder="1" applyAlignment="1">
      <alignment horizontal="left" vertical="top"/>
    </xf>
    <xf numFmtId="0" fontId="2" fillId="12" borderId="29" xfId="0" applyFont="1" applyFill="1" applyBorder="1" applyAlignment="1">
      <alignment horizontal="left" vertical="center" wrapText="1"/>
    </xf>
    <xf numFmtId="0" fontId="2" fillId="12" borderId="18" xfId="0" applyFont="1" applyFill="1" applyBorder="1" applyAlignment="1">
      <alignment horizontal="left" vertical="center" wrapText="1"/>
    </xf>
    <xf numFmtId="0" fontId="1" fillId="11" borderId="7" xfId="0" applyFont="1" applyFill="1" applyBorder="1" applyAlignment="1">
      <alignment horizontal="center" vertical="center" wrapText="1"/>
    </xf>
    <xf numFmtId="0" fontId="1" fillId="11" borderId="8" xfId="0" applyFont="1" applyFill="1" applyBorder="1" applyAlignment="1">
      <alignment horizontal="center" vertical="center" wrapText="1"/>
    </xf>
    <xf numFmtId="0" fontId="1" fillId="11" borderId="9" xfId="0" applyFont="1" applyFill="1" applyBorder="1" applyAlignment="1">
      <alignment horizontal="center" vertical="center" wrapText="1"/>
    </xf>
    <xf numFmtId="0" fontId="1" fillId="11" borderId="15"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1" fillId="11" borderId="17"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27" fillId="21" borderId="0" xfId="0" applyFont="1" applyFill="1" applyAlignment="1">
      <alignment horizontal="center"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2" fillId="21" borderId="0" xfId="0" applyFont="1" applyFill="1" applyAlignment="1">
      <alignment horizontal="center" vertical="center" wrapText="1"/>
    </xf>
    <xf numFmtId="0" fontId="1" fillId="11" borderId="0" xfId="0" applyFont="1" applyFill="1" applyAlignment="1">
      <alignment horizontal="center" vertical="center" wrapText="1"/>
    </xf>
    <xf numFmtId="0" fontId="0" fillId="0" borderId="31" xfId="0" applyBorder="1" applyAlignment="1"/>
    <xf numFmtId="0" fontId="0" fillId="0" borderId="20" xfId="0" applyBorder="1" applyAlignment="1"/>
    <xf numFmtId="0" fontId="0" fillId="0" borderId="30" xfId="0" applyBorder="1" applyAlignment="1"/>
    <xf numFmtId="0" fontId="0" fillId="0" borderId="1" xfId="0" applyBorder="1" applyAlignment="1"/>
    <xf numFmtId="0" fontId="0" fillId="0" borderId="0" xfId="0" applyAlignment="1"/>
    <xf numFmtId="0" fontId="7" fillId="16" borderId="18" xfId="0" applyFont="1" applyFill="1" applyBorder="1" applyAlignment="1" applyProtection="1">
      <alignment horizontal="left" vertical="center" wrapText="1"/>
      <protection locked="0"/>
    </xf>
    <xf numFmtId="166" fontId="7" fillId="16" borderId="1" xfId="0" applyNumberFormat="1" applyFont="1" applyFill="1" applyBorder="1" applyAlignment="1" applyProtection="1">
      <alignment horizontal="center" vertical="center" wrapText="1"/>
      <protection locked="0"/>
    </xf>
    <xf numFmtId="0" fontId="8" fillId="17" borderId="24" xfId="0" applyFont="1" applyFill="1" applyBorder="1" applyAlignment="1" applyProtection="1">
      <alignment horizontal="center" vertical="center" wrapText="1"/>
      <protection locked="0"/>
    </xf>
    <xf numFmtId="165" fontId="7" fillId="18" borderId="24" xfId="0" applyNumberFormat="1" applyFont="1" applyFill="1" applyBorder="1" applyAlignment="1" applyProtection="1">
      <alignment horizontal="center" vertical="center" wrapText="1"/>
      <protection locked="0"/>
    </xf>
    <xf numFmtId="166" fontId="7" fillId="16" borderId="24" xfId="0" applyNumberFormat="1" applyFont="1" applyFill="1" applyBorder="1" applyAlignment="1" applyProtection="1">
      <alignment horizontal="center" vertical="center" wrapText="1"/>
      <protection locked="0"/>
    </xf>
  </cellXfs>
  <cellStyles count="1">
    <cellStyle name="Normal" xfId="0" builtinId="0"/>
  </cellStyles>
  <dxfs count="0"/>
  <tableStyles count="0" defaultTableStyle="TableStyleMedium9" defaultPivotStyle="PivotStyleLight16"/>
  <colors>
    <mruColors>
      <color rgb="FFFF7276"/>
      <color rgb="FFECF1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14BD-64D7-4F7E-938D-299BAA288500}">
  <dimension ref="B1:F17"/>
  <sheetViews>
    <sheetView showGridLines="0" zoomScale="80" zoomScaleNormal="80" workbookViewId="0">
      <selection activeCell="B1" sqref="B1"/>
    </sheetView>
  </sheetViews>
  <sheetFormatPr defaultRowHeight="14.45"/>
  <cols>
    <col min="1" max="1" width="2.28515625" customWidth="1"/>
    <col min="2" max="2" width="14.42578125" customWidth="1"/>
    <col min="3" max="3" width="13.85546875" customWidth="1"/>
    <col min="4" max="4" width="15.5703125" bestFit="1" customWidth="1"/>
    <col min="5" max="5" width="20.85546875" bestFit="1" customWidth="1"/>
    <col min="6" max="6" width="86.140625" bestFit="1" customWidth="1"/>
  </cols>
  <sheetData>
    <row r="1" spans="2:6" ht="17.45">
      <c r="B1" s="7" t="s">
        <v>0</v>
      </c>
      <c r="C1" s="7" t="s">
        <v>1</v>
      </c>
      <c r="D1" s="7" t="s">
        <v>2</v>
      </c>
      <c r="E1" s="7" t="s">
        <v>3</v>
      </c>
      <c r="F1" s="7" t="s">
        <v>4</v>
      </c>
    </row>
    <row r="2" spans="2:6" ht="15">
      <c r="B2" s="8" t="s">
        <v>5</v>
      </c>
      <c r="C2" s="8" t="s">
        <v>6</v>
      </c>
      <c r="D2" s="9">
        <v>46129</v>
      </c>
      <c r="E2" s="8" t="s">
        <v>7</v>
      </c>
      <c r="F2" s="10" t="s">
        <v>8</v>
      </c>
    </row>
    <row r="3" spans="2:6" ht="15">
      <c r="B3" s="8" t="s">
        <v>9</v>
      </c>
      <c r="C3" s="8" t="s">
        <v>6</v>
      </c>
      <c r="D3" s="9">
        <v>46141</v>
      </c>
      <c r="E3" s="8" t="s">
        <v>10</v>
      </c>
      <c r="F3" s="10" t="s">
        <v>11</v>
      </c>
    </row>
    <row r="4" spans="2:6" ht="15">
      <c r="B4" s="8" t="s">
        <v>12</v>
      </c>
      <c r="C4" s="8" t="s">
        <v>6</v>
      </c>
      <c r="D4" s="9">
        <v>46141</v>
      </c>
      <c r="E4" s="8" t="s">
        <v>7</v>
      </c>
      <c r="F4" s="10" t="s">
        <v>13</v>
      </c>
    </row>
    <row r="5" spans="2:6" ht="30">
      <c r="B5" s="11" t="s">
        <v>14</v>
      </c>
      <c r="C5" s="11" t="s">
        <v>15</v>
      </c>
      <c r="D5" s="12">
        <v>46150</v>
      </c>
      <c r="E5" s="11" t="s">
        <v>10</v>
      </c>
      <c r="F5" s="13" t="s">
        <v>16</v>
      </c>
    </row>
    <row r="6" spans="2:6">
      <c r="B6" s="14"/>
      <c r="C6" s="14"/>
      <c r="D6" s="14"/>
      <c r="E6" s="14"/>
      <c r="F6" s="15"/>
    </row>
    <row r="7" spans="2:6" ht="15" thickBot="1">
      <c r="B7" s="16" t="s">
        <v>17</v>
      </c>
      <c r="C7" s="17"/>
      <c r="D7" s="14"/>
      <c r="E7" s="14"/>
      <c r="F7" s="15"/>
    </row>
    <row r="8" spans="2:6">
      <c r="B8" s="180" t="s">
        <v>18</v>
      </c>
      <c r="C8" s="181"/>
      <c r="D8" s="181"/>
      <c r="E8" s="182"/>
      <c r="F8" s="15"/>
    </row>
    <row r="9" spans="2:6">
      <c r="B9" s="183"/>
      <c r="C9" s="184"/>
      <c r="D9" s="184"/>
      <c r="E9" s="185"/>
      <c r="F9" s="15"/>
    </row>
    <row r="10" spans="2:6">
      <c r="B10" s="183"/>
      <c r="C10" s="184"/>
      <c r="D10" s="184"/>
      <c r="E10" s="185"/>
      <c r="F10" s="15"/>
    </row>
    <row r="11" spans="2:6">
      <c r="B11" s="183"/>
      <c r="C11" s="184"/>
      <c r="D11" s="184"/>
      <c r="E11" s="185"/>
      <c r="F11" s="15"/>
    </row>
    <row r="12" spans="2:6">
      <c r="B12" s="183"/>
      <c r="C12" s="184"/>
      <c r="D12" s="184"/>
      <c r="E12" s="185"/>
      <c r="F12" s="15"/>
    </row>
    <row r="13" spans="2:6">
      <c r="B13" s="183"/>
      <c r="C13" s="184"/>
      <c r="D13" s="184"/>
      <c r="E13" s="185"/>
      <c r="F13" s="15"/>
    </row>
    <row r="14" spans="2:6">
      <c r="B14" s="183"/>
      <c r="C14" s="184"/>
      <c r="D14" s="184"/>
      <c r="E14" s="185"/>
      <c r="F14" s="15"/>
    </row>
    <row r="15" spans="2:6">
      <c r="B15" s="183"/>
      <c r="C15" s="184"/>
      <c r="D15" s="184"/>
      <c r="E15" s="185"/>
      <c r="F15" s="15"/>
    </row>
    <row r="16" spans="2:6">
      <c r="B16" s="183"/>
      <c r="C16" s="184"/>
      <c r="D16" s="184"/>
      <c r="E16" s="185"/>
      <c r="F16" s="15"/>
    </row>
    <row r="17" spans="2:6" ht="15" thickBot="1">
      <c r="B17" s="186"/>
      <c r="C17" s="187"/>
      <c r="D17" s="187"/>
      <c r="E17" s="188"/>
      <c r="F17" s="15"/>
    </row>
  </sheetData>
  <mergeCells count="1">
    <mergeCell ref="B8:E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0"/>
  <sheetViews>
    <sheetView showGridLines="0" zoomScale="80" zoomScaleNormal="80" workbookViewId="0">
      <selection sqref="A1:B1"/>
    </sheetView>
  </sheetViews>
  <sheetFormatPr defaultRowHeight="14.45"/>
  <cols>
    <col min="1" max="1" width="30" customWidth="1"/>
    <col min="2" max="2" width="70" customWidth="1"/>
  </cols>
  <sheetData>
    <row r="1" spans="1:2" ht="16.149999999999999" customHeight="1">
      <c r="A1" s="189" t="s">
        <v>19</v>
      </c>
      <c r="B1" s="206"/>
    </row>
    <row r="2" spans="1:2" ht="39" customHeight="1">
      <c r="A2" s="116"/>
      <c r="B2" s="117" t="s">
        <v>20</v>
      </c>
    </row>
    <row r="3" spans="1:2" ht="16.149999999999999" customHeight="1">
      <c r="A3" s="190" t="s">
        <v>21</v>
      </c>
      <c r="B3" s="207"/>
    </row>
    <row r="4" spans="1:2" ht="30" customHeight="1">
      <c r="A4" s="116" t="s">
        <v>22</v>
      </c>
      <c r="B4" s="117" t="s">
        <v>23</v>
      </c>
    </row>
    <row r="5" spans="1:2" ht="30" customHeight="1">
      <c r="A5" s="118" t="s">
        <v>24</v>
      </c>
      <c r="B5" s="119" t="s">
        <v>25</v>
      </c>
    </row>
    <row r="6" spans="1:2" ht="30" customHeight="1">
      <c r="A6" s="116" t="s">
        <v>26</v>
      </c>
      <c r="B6" s="117" t="s">
        <v>27</v>
      </c>
    </row>
    <row r="7" spans="1:2" ht="30" customHeight="1">
      <c r="A7" s="116" t="s">
        <v>28</v>
      </c>
      <c r="B7" s="117" t="s">
        <v>29</v>
      </c>
    </row>
    <row r="8" spans="1:2" ht="30" customHeight="1">
      <c r="A8" s="118" t="s">
        <v>30</v>
      </c>
      <c r="B8" s="119" t="s">
        <v>31</v>
      </c>
    </row>
    <row r="9" spans="1:2" ht="16.149999999999999" customHeight="1">
      <c r="A9" s="190" t="s">
        <v>32</v>
      </c>
      <c r="B9" s="207"/>
    </row>
    <row r="10" spans="1:2" ht="30" customHeight="1">
      <c r="A10" s="118" t="s">
        <v>33</v>
      </c>
      <c r="B10" s="117" t="s">
        <v>34</v>
      </c>
    </row>
    <row r="11" spans="1:2" ht="30" customHeight="1">
      <c r="A11" s="116" t="s">
        <v>35</v>
      </c>
      <c r="B11" s="117" t="s">
        <v>36</v>
      </c>
    </row>
    <row r="12" spans="1:2" ht="30" customHeight="1">
      <c r="A12" s="118" t="s">
        <v>37</v>
      </c>
      <c r="B12" s="119" t="s">
        <v>38</v>
      </c>
    </row>
    <row r="13" spans="1:2" ht="16.149999999999999" customHeight="1">
      <c r="A13" s="190" t="s">
        <v>39</v>
      </c>
      <c r="B13" s="207"/>
    </row>
    <row r="14" spans="1:2" ht="30" customHeight="1">
      <c r="A14" s="118" t="s">
        <v>40</v>
      </c>
      <c r="B14" s="119" t="s">
        <v>41</v>
      </c>
    </row>
    <row r="15" spans="1:2" ht="30" customHeight="1">
      <c r="A15" s="116" t="s">
        <v>42</v>
      </c>
      <c r="B15" s="117" t="s">
        <v>43</v>
      </c>
    </row>
    <row r="16" spans="1:2" ht="30" customHeight="1">
      <c r="A16" s="118" t="s">
        <v>44</v>
      </c>
      <c r="B16" s="119" t="s">
        <v>45</v>
      </c>
    </row>
    <row r="17" spans="1:2" ht="30" customHeight="1">
      <c r="A17" s="116" t="s">
        <v>46</v>
      </c>
      <c r="B17" s="117" t="s">
        <v>47</v>
      </c>
    </row>
    <row r="18" spans="1:2" ht="30" customHeight="1">
      <c r="A18" s="118" t="s">
        <v>48</v>
      </c>
      <c r="B18" s="119" t="s">
        <v>49</v>
      </c>
    </row>
    <row r="19" spans="1:2">
      <c r="A19" s="116" t="s">
        <v>50</v>
      </c>
      <c r="B19" s="120" t="s">
        <v>51</v>
      </c>
    </row>
    <row r="20" spans="1:2" ht="15" thickBot="1">
      <c r="A20" s="121"/>
      <c r="B20" s="122"/>
    </row>
  </sheetData>
  <mergeCells count="4">
    <mergeCell ref="A1:B1"/>
    <mergeCell ref="A9:B9"/>
    <mergeCell ref="A13:B13"/>
    <mergeCell ref="A3:B3"/>
  </mergeCells>
  <pageMargins left="0.75" right="0.75" top="1" bottom="1" header="0.5" footer="0.5"/>
  <pageSetup paperSize="9" fitToWidth="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7011A-5525-4E21-9806-64D1A4B588D0}">
  <dimension ref="A1:R48"/>
  <sheetViews>
    <sheetView showGridLines="0" zoomScale="80" zoomScaleNormal="80" workbookViewId="0">
      <selection activeCell="B1" sqref="B1:R1"/>
    </sheetView>
  </sheetViews>
  <sheetFormatPr defaultRowHeight="14.45"/>
  <cols>
    <col min="1" max="1" width="1.7109375" customWidth="1"/>
    <col min="2" max="2" width="21.5703125" customWidth="1"/>
    <col min="3" max="3" width="7.7109375" customWidth="1"/>
    <col min="4" max="4" width="22" customWidth="1"/>
    <col min="5" max="5" width="18" customWidth="1"/>
    <col min="6" max="6" width="14" customWidth="1"/>
    <col min="7" max="7" width="10" customWidth="1"/>
    <col min="8" max="8" width="24.28515625" customWidth="1"/>
    <col min="9" max="10" width="14" customWidth="1"/>
    <col min="11" max="14" width="10.7109375" customWidth="1"/>
    <col min="15" max="18" width="9.7109375" customWidth="1"/>
  </cols>
  <sheetData>
    <row r="1" spans="1:18">
      <c r="A1" s="15"/>
      <c r="B1" s="194" t="s">
        <v>52</v>
      </c>
      <c r="C1" s="195"/>
      <c r="D1" s="195"/>
      <c r="E1" s="195"/>
      <c r="F1" s="195"/>
      <c r="G1" s="195"/>
      <c r="H1" s="195"/>
      <c r="I1" s="195"/>
      <c r="J1" s="195"/>
      <c r="K1" s="195"/>
      <c r="L1" s="195"/>
      <c r="M1" s="195"/>
      <c r="N1" s="195"/>
      <c r="O1" s="195"/>
      <c r="P1" s="195"/>
      <c r="Q1" s="195"/>
      <c r="R1" s="196"/>
    </row>
    <row r="2" spans="1:18" ht="24">
      <c r="A2" s="15"/>
      <c r="B2" s="18" t="s">
        <v>53</v>
      </c>
      <c r="C2" s="19" t="s">
        <v>54</v>
      </c>
      <c r="D2" s="1" t="s">
        <v>55</v>
      </c>
      <c r="E2" s="1" t="s">
        <v>56</v>
      </c>
      <c r="F2" s="1" t="s">
        <v>57</v>
      </c>
      <c r="G2" s="1" t="s">
        <v>58</v>
      </c>
      <c r="H2" s="1" t="s">
        <v>1</v>
      </c>
      <c r="I2" s="1" t="s">
        <v>59</v>
      </c>
      <c r="J2" s="1" t="s">
        <v>60</v>
      </c>
      <c r="K2" s="1" t="s">
        <v>61</v>
      </c>
      <c r="L2" s="1" t="s">
        <v>62</v>
      </c>
      <c r="M2" s="1" t="s">
        <v>63</v>
      </c>
      <c r="N2" s="1" t="s">
        <v>64</v>
      </c>
      <c r="O2" s="1" t="s">
        <v>65</v>
      </c>
      <c r="P2" s="1" t="s">
        <v>66</v>
      </c>
      <c r="Q2" s="1" t="s">
        <v>67</v>
      </c>
      <c r="R2" s="20" t="s">
        <v>68</v>
      </c>
    </row>
    <row r="3" spans="1:18">
      <c r="A3" s="15"/>
      <c r="B3" s="21" t="s">
        <v>30</v>
      </c>
      <c r="C3" s="22" t="b">
        <v>1</v>
      </c>
      <c r="D3" s="23" t="b">
        <v>1</v>
      </c>
      <c r="E3" s="23" t="b">
        <v>1</v>
      </c>
      <c r="F3" s="23" t="b">
        <v>1</v>
      </c>
      <c r="G3" s="24"/>
      <c r="H3" s="24"/>
      <c r="I3" s="23" t="b">
        <v>1</v>
      </c>
      <c r="J3" s="23" t="b">
        <v>1</v>
      </c>
      <c r="K3" s="24"/>
      <c r="L3" s="24"/>
      <c r="M3" s="24"/>
      <c r="N3" s="24"/>
      <c r="O3" s="23" t="b">
        <v>1</v>
      </c>
      <c r="P3" s="24"/>
      <c r="Q3" s="24"/>
      <c r="R3" s="25"/>
    </row>
    <row r="4" spans="1:18">
      <c r="A4" s="15"/>
      <c r="B4" s="21" t="s">
        <v>69</v>
      </c>
      <c r="C4" s="26"/>
      <c r="D4" s="24"/>
      <c r="E4" s="24"/>
      <c r="F4" s="27"/>
      <c r="G4" s="23" t="b">
        <v>1</v>
      </c>
      <c r="H4" s="23" t="b">
        <v>1</v>
      </c>
      <c r="I4" s="24"/>
      <c r="J4" s="24"/>
      <c r="K4" s="23" t="b">
        <v>1</v>
      </c>
      <c r="L4" s="23" t="b">
        <v>1</v>
      </c>
      <c r="M4" s="24"/>
      <c r="N4" s="24"/>
      <c r="O4" s="24"/>
      <c r="P4" s="24"/>
      <c r="Q4" s="23" t="b">
        <v>1</v>
      </c>
      <c r="R4" s="28" t="b">
        <v>1</v>
      </c>
    </row>
    <row r="5" spans="1:18">
      <c r="A5" s="15"/>
      <c r="B5" s="21" t="s">
        <v>70</v>
      </c>
      <c r="C5" s="26"/>
      <c r="D5" s="24"/>
      <c r="E5" s="24"/>
      <c r="F5" s="24"/>
      <c r="G5" s="24"/>
      <c r="H5" s="24"/>
      <c r="I5" s="24"/>
      <c r="J5" s="24"/>
      <c r="K5" s="24"/>
      <c r="L5" s="24"/>
      <c r="M5" s="23" t="b">
        <v>1</v>
      </c>
      <c r="N5" s="23" t="b">
        <v>1</v>
      </c>
      <c r="O5" s="24"/>
      <c r="P5" s="23" t="b">
        <v>1</v>
      </c>
      <c r="Q5" s="24"/>
      <c r="R5" s="25"/>
    </row>
    <row r="6" spans="1:18">
      <c r="A6" s="15"/>
      <c r="B6" s="21" t="s">
        <v>28</v>
      </c>
      <c r="C6" s="26"/>
      <c r="D6" s="24"/>
      <c r="E6" s="24"/>
      <c r="F6" s="24"/>
      <c r="G6" s="24"/>
      <c r="H6" s="24"/>
      <c r="I6" s="24"/>
      <c r="J6" s="24"/>
      <c r="K6" s="24"/>
      <c r="L6" s="24"/>
      <c r="M6" s="24"/>
      <c r="N6" s="24"/>
      <c r="O6" s="24"/>
      <c r="P6" s="24"/>
      <c r="Q6" s="24"/>
      <c r="R6" s="25"/>
    </row>
    <row r="7" spans="1:18" ht="15" thickBot="1">
      <c r="A7" s="15"/>
      <c r="B7" s="29" t="s">
        <v>26</v>
      </c>
      <c r="C7" s="30"/>
      <c r="D7" s="31"/>
      <c r="E7" s="31"/>
      <c r="F7" s="31"/>
      <c r="G7" s="31"/>
      <c r="H7" s="31"/>
      <c r="I7" s="31"/>
      <c r="J7" s="31"/>
      <c r="K7" s="31"/>
      <c r="L7" s="31"/>
      <c r="M7" s="31"/>
      <c r="N7" s="31"/>
      <c r="O7" s="31"/>
      <c r="P7" s="31"/>
      <c r="Q7" s="31"/>
      <c r="R7" s="32"/>
    </row>
    <row r="8" spans="1:18" ht="15" thickBot="1">
      <c r="A8" s="15"/>
      <c r="B8" s="33"/>
      <c r="C8" s="15"/>
      <c r="D8" s="15"/>
      <c r="E8" s="15"/>
      <c r="F8" s="15"/>
      <c r="G8" s="15"/>
      <c r="H8" s="15"/>
      <c r="I8" s="15"/>
      <c r="J8" s="15"/>
      <c r="K8" s="15"/>
      <c r="L8" s="15"/>
      <c r="M8" s="15"/>
      <c r="N8" s="15"/>
      <c r="O8" s="15"/>
      <c r="P8" s="15"/>
      <c r="Q8" s="15"/>
      <c r="R8" s="15"/>
    </row>
    <row r="9" spans="1:18">
      <c r="A9" s="15"/>
      <c r="B9" s="194" t="s">
        <v>71</v>
      </c>
      <c r="C9" s="195"/>
      <c r="D9" s="195"/>
      <c r="E9" s="195"/>
      <c r="F9" s="195"/>
      <c r="G9" s="195"/>
      <c r="H9" s="195"/>
      <c r="I9" s="195"/>
      <c r="J9" s="195"/>
      <c r="K9" s="195"/>
      <c r="L9" s="195"/>
      <c r="M9" s="195"/>
      <c r="N9" s="195"/>
      <c r="O9" s="195"/>
      <c r="P9" s="195"/>
      <c r="Q9" s="196"/>
      <c r="R9" s="15"/>
    </row>
    <row r="10" spans="1:18" ht="36">
      <c r="A10" s="15"/>
      <c r="B10" s="18" t="s">
        <v>53</v>
      </c>
      <c r="C10" s="19" t="s">
        <v>54</v>
      </c>
      <c r="D10" s="1" t="s">
        <v>55</v>
      </c>
      <c r="E10" s="1" t="s">
        <v>56</v>
      </c>
      <c r="F10" s="1" t="s">
        <v>72</v>
      </c>
      <c r="G10" s="1" t="s">
        <v>73</v>
      </c>
      <c r="H10" s="1" t="s">
        <v>74</v>
      </c>
      <c r="I10" s="1" t="s">
        <v>75</v>
      </c>
      <c r="J10" s="1" t="s">
        <v>76</v>
      </c>
      <c r="K10" s="1" t="s">
        <v>77</v>
      </c>
      <c r="L10" s="1" t="s">
        <v>78</v>
      </c>
      <c r="M10" s="1" t="s">
        <v>79</v>
      </c>
      <c r="N10" s="1" t="s">
        <v>80</v>
      </c>
      <c r="O10" s="1" t="s">
        <v>81</v>
      </c>
      <c r="P10" s="1" t="s">
        <v>65</v>
      </c>
      <c r="Q10" s="20" t="s">
        <v>82</v>
      </c>
      <c r="R10" s="15"/>
    </row>
    <row r="11" spans="1:18">
      <c r="A11" s="15"/>
      <c r="B11" s="21" t="s">
        <v>30</v>
      </c>
      <c r="C11" s="34" t="b">
        <v>1</v>
      </c>
      <c r="D11" s="35" t="b">
        <v>1</v>
      </c>
      <c r="E11" s="35" t="b">
        <v>1</v>
      </c>
      <c r="F11" s="24"/>
      <c r="G11" s="24"/>
      <c r="H11" s="24"/>
      <c r="I11" s="24"/>
      <c r="J11" s="24"/>
      <c r="K11" s="24"/>
      <c r="L11" s="24"/>
      <c r="M11" s="24"/>
      <c r="N11" s="24"/>
      <c r="O11" s="24"/>
      <c r="P11" s="35" t="b">
        <v>1</v>
      </c>
      <c r="Q11" s="25"/>
      <c r="R11" s="36"/>
    </row>
    <row r="12" spans="1:18">
      <c r="A12" s="15"/>
      <c r="B12" s="21" t="s">
        <v>69</v>
      </c>
      <c r="C12" s="26"/>
      <c r="D12" s="24"/>
      <c r="E12" s="24"/>
      <c r="F12" s="35" t="b">
        <v>1</v>
      </c>
      <c r="G12" s="35" t="b">
        <v>1</v>
      </c>
      <c r="H12" s="35" t="b">
        <v>1</v>
      </c>
      <c r="I12" s="35" t="b">
        <v>1</v>
      </c>
      <c r="J12" s="35" t="b">
        <v>1</v>
      </c>
      <c r="K12" s="35" t="b">
        <v>1</v>
      </c>
      <c r="L12" s="35" t="b">
        <v>1</v>
      </c>
      <c r="M12" s="35" t="b">
        <v>1</v>
      </c>
      <c r="N12" s="35" t="b">
        <v>1</v>
      </c>
      <c r="O12" s="35" t="b">
        <v>1</v>
      </c>
      <c r="P12" s="24"/>
      <c r="Q12" s="37" t="b">
        <v>1</v>
      </c>
      <c r="R12" s="38"/>
    </row>
    <row r="13" spans="1:18">
      <c r="A13" s="15"/>
      <c r="B13" s="21" t="s">
        <v>70</v>
      </c>
      <c r="C13" s="26"/>
      <c r="D13" s="24"/>
      <c r="E13" s="24"/>
      <c r="F13" s="24"/>
      <c r="G13" s="24"/>
      <c r="H13" s="24"/>
      <c r="I13" s="24"/>
      <c r="J13" s="24"/>
      <c r="K13" s="24"/>
      <c r="L13" s="24"/>
      <c r="M13" s="24"/>
      <c r="N13" s="24"/>
      <c r="O13" s="24"/>
      <c r="P13" s="24"/>
      <c r="Q13" s="25"/>
      <c r="R13" s="36"/>
    </row>
    <row r="14" spans="1:18">
      <c r="A14" s="15"/>
      <c r="B14" s="21" t="s">
        <v>28</v>
      </c>
      <c r="C14" s="26"/>
      <c r="D14" s="24"/>
      <c r="E14" s="24"/>
      <c r="F14" s="24"/>
      <c r="G14" s="24"/>
      <c r="H14" s="24"/>
      <c r="I14" s="24"/>
      <c r="J14" s="24"/>
      <c r="K14" s="24"/>
      <c r="L14" s="24"/>
      <c r="M14" s="24"/>
      <c r="N14" s="24"/>
      <c r="O14" s="24"/>
      <c r="P14" s="24"/>
      <c r="Q14" s="25"/>
      <c r="R14" s="36"/>
    </row>
    <row r="15" spans="1:18" ht="15" thickBot="1">
      <c r="A15" s="15"/>
      <c r="B15" s="29" t="s">
        <v>26</v>
      </c>
      <c r="C15" s="30"/>
      <c r="D15" s="31"/>
      <c r="E15" s="31"/>
      <c r="F15" s="31"/>
      <c r="G15" s="31"/>
      <c r="H15" s="31"/>
      <c r="I15" s="31"/>
      <c r="J15" s="31"/>
      <c r="K15" s="31"/>
      <c r="L15" s="31"/>
      <c r="M15" s="31"/>
      <c r="N15" s="31"/>
      <c r="O15" s="31"/>
      <c r="P15" s="31"/>
      <c r="Q15" s="32"/>
      <c r="R15" s="36"/>
    </row>
    <row r="16" spans="1:18" ht="15" thickBot="1">
      <c r="A16" s="15"/>
      <c r="B16" s="15"/>
      <c r="C16" s="15"/>
      <c r="D16" s="15"/>
      <c r="E16" s="15"/>
      <c r="F16" s="15"/>
      <c r="G16" s="15"/>
      <c r="H16" s="15"/>
      <c r="I16" s="15"/>
      <c r="J16" s="15"/>
      <c r="K16" s="15"/>
      <c r="L16" s="15"/>
      <c r="M16" s="15"/>
      <c r="N16" s="15"/>
      <c r="O16" s="15"/>
      <c r="P16" s="15"/>
      <c r="Q16" s="15"/>
      <c r="R16" s="15"/>
    </row>
    <row r="17" spans="1:18">
      <c r="A17" s="15"/>
      <c r="B17" s="191" t="s">
        <v>83</v>
      </c>
      <c r="C17" s="192"/>
      <c r="D17" s="192"/>
      <c r="E17" s="192"/>
      <c r="F17" s="192"/>
      <c r="G17" s="192"/>
      <c r="H17" s="192"/>
      <c r="I17" s="192"/>
      <c r="J17" s="192"/>
      <c r="K17" s="192"/>
      <c r="L17" s="192"/>
      <c r="M17" s="192"/>
      <c r="N17" s="193"/>
      <c r="O17" s="39"/>
      <c r="P17" s="39"/>
      <c r="Q17" s="39"/>
      <c r="R17" s="39"/>
    </row>
    <row r="18" spans="1:18" ht="24">
      <c r="A18" s="15"/>
      <c r="B18" s="18" t="s">
        <v>53</v>
      </c>
      <c r="C18" s="18" t="s">
        <v>54</v>
      </c>
      <c r="D18" s="18" t="s">
        <v>55</v>
      </c>
      <c r="E18" s="18" t="s">
        <v>56</v>
      </c>
      <c r="F18" s="18" t="s">
        <v>84</v>
      </c>
      <c r="G18" s="18" t="s">
        <v>85</v>
      </c>
      <c r="H18" s="18" t="s">
        <v>86</v>
      </c>
      <c r="I18" s="18" t="s">
        <v>87</v>
      </c>
      <c r="J18" s="18" t="s">
        <v>88</v>
      </c>
      <c r="K18" s="18" t="s">
        <v>89</v>
      </c>
      <c r="L18" s="18" t="s">
        <v>90</v>
      </c>
      <c r="M18" s="18" t="s">
        <v>1</v>
      </c>
      <c r="N18" s="40" t="s">
        <v>91</v>
      </c>
      <c r="O18" s="41"/>
      <c r="P18" s="41"/>
      <c r="Q18" s="41"/>
      <c r="R18" s="41"/>
    </row>
    <row r="19" spans="1:18">
      <c r="A19" s="15"/>
      <c r="B19" s="21" t="s">
        <v>30</v>
      </c>
      <c r="C19" s="22" t="b">
        <v>1</v>
      </c>
      <c r="D19" s="23" t="b">
        <v>1</v>
      </c>
      <c r="E19" s="23" t="b">
        <v>1</v>
      </c>
      <c r="F19" s="24"/>
      <c r="G19" s="24"/>
      <c r="H19" s="24"/>
      <c r="I19" s="24"/>
      <c r="J19" s="24"/>
      <c r="K19" s="24"/>
      <c r="L19" s="24"/>
      <c r="M19" s="24"/>
      <c r="N19" s="25"/>
      <c r="O19" s="38"/>
      <c r="P19" s="36"/>
      <c r="Q19" s="36"/>
      <c r="R19" s="36"/>
    </row>
    <row r="20" spans="1:18">
      <c r="A20" s="15"/>
      <c r="B20" s="21" t="s">
        <v>69</v>
      </c>
      <c r="C20" s="26"/>
      <c r="D20" s="24"/>
      <c r="E20" s="24"/>
      <c r="F20" s="23" t="b">
        <v>1</v>
      </c>
      <c r="G20" s="23" t="b">
        <v>1</v>
      </c>
      <c r="H20" s="23" t="b">
        <v>1</v>
      </c>
      <c r="I20" s="23" t="b">
        <v>1</v>
      </c>
      <c r="J20" s="23" t="b">
        <v>1</v>
      </c>
      <c r="K20" s="23" t="b">
        <v>1</v>
      </c>
      <c r="L20" s="23" t="b">
        <v>1</v>
      </c>
      <c r="M20" s="23" t="b">
        <v>1</v>
      </c>
      <c r="N20" s="28" t="b">
        <v>1</v>
      </c>
      <c r="O20" s="36"/>
      <c r="P20" s="36"/>
      <c r="Q20" s="38"/>
      <c r="R20" s="38"/>
    </row>
    <row r="21" spans="1:18">
      <c r="A21" s="15"/>
      <c r="B21" s="21" t="s">
        <v>70</v>
      </c>
      <c r="C21" s="26"/>
      <c r="D21" s="24"/>
      <c r="E21" s="24"/>
      <c r="F21" s="24"/>
      <c r="G21" s="24"/>
      <c r="H21" s="24"/>
      <c r="I21" s="24"/>
      <c r="J21" s="24"/>
      <c r="K21" s="24"/>
      <c r="L21" s="24"/>
      <c r="M21" s="24"/>
      <c r="N21" s="25"/>
      <c r="O21" s="36"/>
      <c r="P21" s="38"/>
      <c r="Q21" s="36"/>
      <c r="R21" s="36"/>
    </row>
    <row r="22" spans="1:18">
      <c r="A22" s="15"/>
      <c r="B22" s="21" t="s">
        <v>28</v>
      </c>
      <c r="C22" s="26"/>
      <c r="D22" s="24"/>
      <c r="E22" s="24"/>
      <c r="F22" s="24"/>
      <c r="G22" s="24"/>
      <c r="H22" s="24"/>
      <c r="I22" s="24"/>
      <c r="J22" s="24"/>
      <c r="K22" s="24"/>
      <c r="L22" s="24"/>
      <c r="M22" s="24"/>
      <c r="N22" s="25"/>
      <c r="O22" s="36"/>
      <c r="P22" s="36"/>
      <c r="Q22" s="36"/>
      <c r="R22" s="36"/>
    </row>
    <row r="23" spans="1:18" ht="15" thickBot="1">
      <c r="A23" s="15"/>
      <c r="B23" s="29" t="s">
        <v>26</v>
      </c>
      <c r="C23" s="30"/>
      <c r="D23" s="31"/>
      <c r="E23" s="31"/>
      <c r="F23" s="31"/>
      <c r="G23" s="31"/>
      <c r="H23" s="31"/>
      <c r="I23" s="31"/>
      <c r="J23" s="31"/>
      <c r="K23" s="31"/>
      <c r="L23" s="31"/>
      <c r="M23" s="31"/>
      <c r="N23" s="32"/>
      <c r="O23" s="36"/>
      <c r="P23" s="36"/>
      <c r="Q23" s="36"/>
      <c r="R23" s="36"/>
    </row>
    <row r="24" spans="1:18" ht="15" thickBot="1">
      <c r="A24" s="15"/>
      <c r="B24" s="15"/>
      <c r="C24" s="15"/>
      <c r="D24" s="15"/>
      <c r="E24" s="15"/>
      <c r="F24" s="15"/>
      <c r="G24" s="15"/>
      <c r="H24" s="15"/>
      <c r="I24" s="15"/>
      <c r="J24" s="15"/>
      <c r="K24" s="15"/>
      <c r="L24" s="15"/>
      <c r="M24" s="15"/>
      <c r="N24" s="15"/>
      <c r="O24" s="15"/>
      <c r="P24" s="15"/>
      <c r="Q24" s="15"/>
      <c r="R24" s="15"/>
    </row>
    <row r="25" spans="1:18">
      <c r="A25" s="15"/>
      <c r="B25" s="191" t="s">
        <v>92</v>
      </c>
      <c r="C25" s="192"/>
      <c r="D25" s="192"/>
      <c r="E25" s="192"/>
      <c r="F25" s="192"/>
      <c r="G25" s="192"/>
      <c r="H25" s="192"/>
      <c r="I25" s="192"/>
      <c r="J25" s="192"/>
      <c r="K25" s="192"/>
      <c r="L25" s="192"/>
      <c r="M25" s="192"/>
      <c r="N25" s="193"/>
      <c r="O25" s="15"/>
      <c r="P25" s="15"/>
      <c r="Q25" s="15"/>
      <c r="R25" s="15"/>
    </row>
    <row r="26" spans="1:18" ht="24">
      <c r="A26" s="15"/>
      <c r="B26" s="18" t="s">
        <v>53</v>
      </c>
      <c r="C26" s="18" t="s">
        <v>54</v>
      </c>
      <c r="D26" s="18" t="s">
        <v>55</v>
      </c>
      <c r="E26" s="18" t="s">
        <v>56</v>
      </c>
      <c r="F26" s="18" t="s">
        <v>66</v>
      </c>
      <c r="G26" s="18" t="s">
        <v>63</v>
      </c>
      <c r="H26" s="18" t="s">
        <v>93</v>
      </c>
      <c r="I26" s="18" t="s">
        <v>94</v>
      </c>
      <c r="J26" s="18" t="s">
        <v>95</v>
      </c>
      <c r="K26" s="18" t="s">
        <v>96</v>
      </c>
      <c r="L26" s="18" t="s">
        <v>97</v>
      </c>
      <c r="M26" s="18" t="s">
        <v>98</v>
      </c>
      <c r="N26" s="40" t="s">
        <v>99</v>
      </c>
      <c r="O26" s="15"/>
      <c r="P26" s="15"/>
      <c r="Q26" s="15"/>
      <c r="R26" s="15"/>
    </row>
    <row r="27" spans="1:18">
      <c r="A27" s="15"/>
      <c r="B27" s="21" t="s">
        <v>30</v>
      </c>
      <c r="C27" s="22" t="b">
        <v>1</v>
      </c>
      <c r="D27" s="23" t="b">
        <v>1</v>
      </c>
      <c r="E27" s="23" t="b">
        <v>1</v>
      </c>
      <c r="F27" s="24"/>
      <c r="G27" s="24"/>
      <c r="H27" s="24"/>
      <c r="I27" s="24"/>
      <c r="J27" s="24"/>
      <c r="K27" s="24"/>
      <c r="L27" s="24"/>
      <c r="M27" s="24"/>
      <c r="N27" s="25"/>
      <c r="O27" s="15"/>
      <c r="P27" s="15"/>
      <c r="Q27" s="15"/>
      <c r="R27" s="15"/>
    </row>
    <row r="28" spans="1:18">
      <c r="A28" s="15"/>
      <c r="B28" s="21" t="s">
        <v>69</v>
      </c>
      <c r="C28" s="26"/>
      <c r="D28" s="24"/>
      <c r="E28" s="24"/>
      <c r="F28" s="24"/>
      <c r="G28" s="24"/>
      <c r="H28" s="24"/>
      <c r="I28" s="24"/>
      <c r="J28" s="24"/>
      <c r="K28" s="24"/>
      <c r="L28" s="24"/>
      <c r="M28" s="24"/>
      <c r="N28" s="25"/>
      <c r="O28" s="15"/>
      <c r="P28" s="15"/>
      <c r="Q28" s="15"/>
      <c r="R28" s="15"/>
    </row>
    <row r="29" spans="1:18">
      <c r="A29" s="15"/>
      <c r="B29" s="21" t="s">
        <v>70</v>
      </c>
      <c r="C29" s="26"/>
      <c r="D29" s="24"/>
      <c r="E29" s="24"/>
      <c r="F29" s="23" t="b">
        <v>1</v>
      </c>
      <c r="G29" s="23" t="b">
        <v>1</v>
      </c>
      <c r="H29" s="23" t="b">
        <v>1</v>
      </c>
      <c r="I29" s="23" t="b">
        <v>1</v>
      </c>
      <c r="J29" s="23" t="b">
        <v>1</v>
      </c>
      <c r="K29" s="23" t="b">
        <v>1</v>
      </c>
      <c r="L29" s="23" t="b">
        <v>1</v>
      </c>
      <c r="M29" s="23" t="b">
        <v>1</v>
      </c>
      <c r="N29" s="28" t="b">
        <v>1</v>
      </c>
      <c r="O29" s="15"/>
      <c r="P29" s="15"/>
      <c r="Q29" s="15"/>
      <c r="R29" s="15"/>
    </row>
    <row r="30" spans="1:18">
      <c r="A30" s="15"/>
      <c r="B30" s="21" t="s">
        <v>28</v>
      </c>
      <c r="C30" s="26"/>
      <c r="D30" s="24"/>
      <c r="E30" s="24"/>
      <c r="F30" s="24"/>
      <c r="G30" s="24"/>
      <c r="H30" s="24"/>
      <c r="I30" s="24"/>
      <c r="J30" s="24"/>
      <c r="K30" s="24"/>
      <c r="L30" s="24"/>
      <c r="M30" s="24"/>
      <c r="N30" s="25"/>
      <c r="O30" s="15"/>
      <c r="P30" s="15"/>
      <c r="Q30" s="15"/>
      <c r="R30" s="15"/>
    </row>
    <row r="31" spans="1:18" ht="15" thickBot="1">
      <c r="A31" s="15"/>
      <c r="B31" s="29" t="s">
        <v>26</v>
      </c>
      <c r="C31" s="30"/>
      <c r="D31" s="31"/>
      <c r="E31" s="31"/>
      <c r="F31" s="31"/>
      <c r="G31" s="31"/>
      <c r="H31" s="31"/>
      <c r="I31" s="31"/>
      <c r="J31" s="31"/>
      <c r="K31" s="31"/>
      <c r="L31" s="31"/>
      <c r="M31" s="31"/>
      <c r="N31" s="32"/>
      <c r="O31" s="15"/>
      <c r="P31" s="15"/>
      <c r="Q31" s="15"/>
      <c r="R31" s="15"/>
    </row>
    <row r="32" spans="1:18" ht="15" thickBot="1">
      <c r="A32" s="15"/>
      <c r="B32" s="15"/>
      <c r="C32" s="15"/>
      <c r="D32" s="15"/>
      <c r="E32" s="15"/>
      <c r="F32" s="15"/>
      <c r="G32" s="15"/>
      <c r="H32" s="15"/>
      <c r="I32" s="15"/>
      <c r="J32" s="15"/>
      <c r="K32" s="15"/>
      <c r="L32" s="15"/>
      <c r="M32" s="15"/>
      <c r="N32" s="15"/>
      <c r="O32" s="15"/>
      <c r="P32" s="15"/>
      <c r="Q32" s="15"/>
      <c r="R32" s="15"/>
    </row>
    <row r="33" spans="1:18">
      <c r="A33" s="15"/>
      <c r="B33" s="191" t="s">
        <v>100</v>
      </c>
      <c r="C33" s="192"/>
      <c r="D33" s="192"/>
      <c r="E33" s="192"/>
      <c r="F33" s="192"/>
      <c r="G33" s="192"/>
      <c r="H33" s="192"/>
      <c r="I33" s="192"/>
      <c r="J33" s="192"/>
      <c r="K33" s="192"/>
      <c r="L33" s="192"/>
      <c r="M33" s="192"/>
      <c r="N33" s="193"/>
      <c r="O33" s="15"/>
      <c r="P33" s="15"/>
      <c r="Q33" s="15"/>
      <c r="R33" s="15"/>
    </row>
    <row r="34" spans="1:18" ht="24">
      <c r="A34" s="15"/>
      <c r="B34" s="18" t="s">
        <v>53</v>
      </c>
      <c r="C34" s="18" t="s">
        <v>54</v>
      </c>
      <c r="D34" s="18" t="s">
        <v>101</v>
      </c>
      <c r="E34" s="18" t="s">
        <v>102</v>
      </c>
      <c r="F34" s="18" t="s">
        <v>103</v>
      </c>
      <c r="G34" s="18" t="s">
        <v>104</v>
      </c>
      <c r="H34" s="18" t="s">
        <v>105</v>
      </c>
      <c r="I34" s="18" t="s">
        <v>106</v>
      </c>
      <c r="J34" s="18" t="s">
        <v>107</v>
      </c>
      <c r="K34" s="18" t="s">
        <v>108</v>
      </c>
      <c r="L34" s="18" t="s">
        <v>109</v>
      </c>
      <c r="M34" s="18" t="s">
        <v>110</v>
      </c>
      <c r="N34" s="40" t="s">
        <v>68</v>
      </c>
      <c r="O34" s="15"/>
      <c r="P34" s="15"/>
      <c r="Q34" s="15"/>
      <c r="R34" s="15"/>
    </row>
    <row r="35" spans="1:18">
      <c r="A35" s="15"/>
      <c r="B35" s="21" t="s">
        <v>30</v>
      </c>
      <c r="C35" s="22" t="b">
        <v>1</v>
      </c>
      <c r="D35" s="24"/>
      <c r="E35" s="24"/>
      <c r="F35" s="24"/>
      <c r="G35" s="24"/>
      <c r="H35" s="24"/>
      <c r="I35" s="24"/>
      <c r="J35" s="24"/>
      <c r="K35" s="24"/>
      <c r="L35" s="24"/>
      <c r="M35" s="24"/>
      <c r="N35" s="25"/>
      <c r="O35" s="15"/>
      <c r="P35" s="15"/>
      <c r="Q35" s="15"/>
      <c r="R35" s="15"/>
    </row>
    <row r="36" spans="1:18">
      <c r="A36" s="15"/>
      <c r="B36" s="21" t="s">
        <v>69</v>
      </c>
      <c r="C36" s="26"/>
      <c r="D36" s="24"/>
      <c r="E36" s="24"/>
      <c r="F36" s="24"/>
      <c r="G36" s="24"/>
      <c r="H36" s="24"/>
      <c r="I36" s="24"/>
      <c r="J36" s="24"/>
      <c r="K36" s="24"/>
      <c r="L36" s="24"/>
      <c r="M36" s="24"/>
      <c r="N36" s="25"/>
      <c r="O36" s="15"/>
      <c r="P36" s="15"/>
      <c r="Q36" s="15"/>
      <c r="R36" s="15"/>
    </row>
    <row r="37" spans="1:18">
      <c r="A37" s="15"/>
      <c r="B37" s="21" t="s">
        <v>70</v>
      </c>
      <c r="C37" s="26"/>
      <c r="D37" s="24"/>
      <c r="E37" s="24"/>
      <c r="F37" s="24"/>
      <c r="G37" s="24"/>
      <c r="H37" s="24"/>
      <c r="I37" s="24"/>
      <c r="J37" s="24"/>
      <c r="K37" s="24"/>
      <c r="L37" s="24"/>
      <c r="M37" s="24"/>
      <c r="N37" s="25"/>
      <c r="O37" s="15"/>
      <c r="P37" s="15"/>
      <c r="Q37" s="15"/>
      <c r="R37" s="15"/>
    </row>
    <row r="38" spans="1:18">
      <c r="A38" s="15"/>
      <c r="B38" s="21" t="s">
        <v>28</v>
      </c>
      <c r="C38" s="26"/>
      <c r="D38" s="24"/>
      <c r="E38" s="24"/>
      <c r="F38" s="24"/>
      <c r="G38" s="24"/>
      <c r="H38" s="24"/>
      <c r="I38" s="24"/>
      <c r="J38" s="24"/>
      <c r="K38" s="24"/>
      <c r="L38" s="24"/>
      <c r="M38" s="24"/>
      <c r="N38" s="25"/>
      <c r="O38" s="15"/>
      <c r="P38" s="15"/>
      <c r="Q38" s="15"/>
      <c r="R38" s="15"/>
    </row>
    <row r="39" spans="1:18" ht="15" thickBot="1">
      <c r="A39" s="15"/>
      <c r="B39" s="29" t="s">
        <v>26</v>
      </c>
      <c r="C39" s="30"/>
      <c r="D39" s="42" t="b">
        <v>1</v>
      </c>
      <c r="E39" s="42" t="b">
        <v>1</v>
      </c>
      <c r="F39" s="42" t="b">
        <v>1</v>
      </c>
      <c r="G39" s="42" t="b">
        <v>1</v>
      </c>
      <c r="H39" s="42" t="b">
        <v>1</v>
      </c>
      <c r="I39" s="42" t="b">
        <v>1</v>
      </c>
      <c r="J39" s="42" t="b">
        <v>1</v>
      </c>
      <c r="K39" s="42" t="b">
        <v>1</v>
      </c>
      <c r="L39" s="42" t="b">
        <v>1</v>
      </c>
      <c r="M39" s="42" t="b">
        <v>1</v>
      </c>
      <c r="N39" s="43" t="b">
        <v>1</v>
      </c>
      <c r="O39" s="15"/>
      <c r="P39" s="15"/>
      <c r="Q39" s="15"/>
      <c r="R39" s="15"/>
    </row>
    <row r="40" spans="1:18" ht="15" thickBot="1">
      <c r="A40" s="15"/>
      <c r="B40" s="15"/>
      <c r="C40" s="15"/>
      <c r="D40" s="15"/>
      <c r="E40" s="15"/>
      <c r="F40" s="15"/>
      <c r="G40" s="15"/>
      <c r="H40" s="15"/>
      <c r="I40" s="15"/>
      <c r="J40" s="15"/>
      <c r="K40" s="15"/>
      <c r="L40" s="15"/>
      <c r="M40" s="15"/>
      <c r="N40" s="15"/>
      <c r="O40" s="15"/>
      <c r="P40" s="15"/>
      <c r="Q40" s="15"/>
      <c r="R40" s="15"/>
    </row>
    <row r="41" spans="1:18" ht="15" thickBot="1">
      <c r="A41" s="15"/>
      <c r="B41" s="191" t="s">
        <v>111</v>
      </c>
      <c r="C41" s="192"/>
      <c r="D41" s="192"/>
      <c r="E41" s="192"/>
      <c r="F41" s="192"/>
      <c r="G41" s="192"/>
      <c r="H41" s="192"/>
      <c r="I41" s="192"/>
      <c r="J41" s="193"/>
      <c r="K41" s="39"/>
      <c r="L41" s="39"/>
      <c r="M41" s="39"/>
      <c r="N41" s="39"/>
      <c r="O41" s="15"/>
      <c r="P41" s="15"/>
      <c r="Q41" s="15"/>
      <c r="R41" s="15"/>
    </row>
    <row r="42" spans="1:18" ht="24.6" thickBot="1">
      <c r="A42" s="15"/>
      <c r="B42" s="18" t="s">
        <v>53</v>
      </c>
      <c r="C42" s="5" t="s">
        <v>54</v>
      </c>
      <c r="D42" s="5" t="s">
        <v>55</v>
      </c>
      <c r="E42" s="5" t="s">
        <v>56</v>
      </c>
      <c r="F42" s="5" t="s">
        <v>112</v>
      </c>
      <c r="G42" s="5" t="s">
        <v>113</v>
      </c>
      <c r="H42" s="5" t="s">
        <v>114</v>
      </c>
      <c r="I42" s="5" t="s">
        <v>115</v>
      </c>
      <c r="J42" s="44" t="s">
        <v>116</v>
      </c>
      <c r="K42" s="15"/>
      <c r="L42" s="15"/>
      <c r="M42" s="15"/>
      <c r="N42" s="15"/>
      <c r="O42" s="15"/>
      <c r="P42" s="15"/>
      <c r="Q42" s="15"/>
      <c r="R42" s="15"/>
    </row>
    <row r="43" spans="1:18">
      <c r="A43" s="15"/>
      <c r="B43" s="21" t="s">
        <v>30</v>
      </c>
      <c r="C43" s="22" t="b">
        <v>1</v>
      </c>
      <c r="D43" s="22" t="b">
        <v>1</v>
      </c>
      <c r="E43" s="22" t="b">
        <v>1</v>
      </c>
      <c r="F43" s="24"/>
      <c r="G43" s="24"/>
      <c r="H43" s="24"/>
      <c r="I43" s="24"/>
      <c r="J43" s="25"/>
      <c r="K43" s="15"/>
      <c r="L43" s="15"/>
      <c r="M43" s="15"/>
      <c r="N43" s="15"/>
      <c r="O43" s="15"/>
      <c r="P43" s="15"/>
      <c r="Q43" s="15"/>
      <c r="R43" s="15"/>
    </row>
    <row r="44" spans="1:18">
      <c r="A44" s="15"/>
      <c r="B44" s="21" t="s">
        <v>69</v>
      </c>
      <c r="C44" s="26"/>
      <c r="D44" s="24"/>
      <c r="E44" s="24"/>
      <c r="F44" s="24"/>
      <c r="G44" s="24"/>
      <c r="H44" s="24"/>
      <c r="I44" s="24"/>
      <c r="J44" s="25"/>
      <c r="K44" s="15"/>
      <c r="L44" s="15"/>
      <c r="M44" s="15"/>
      <c r="N44" s="15"/>
      <c r="O44" s="15"/>
      <c r="P44" s="15"/>
      <c r="Q44" s="15"/>
      <c r="R44" s="15"/>
    </row>
    <row r="45" spans="1:18">
      <c r="A45" s="15"/>
      <c r="B45" s="21" t="s">
        <v>70</v>
      </c>
      <c r="C45" s="26"/>
      <c r="D45" s="24"/>
      <c r="E45" s="24"/>
      <c r="F45" s="22" t="b">
        <v>1</v>
      </c>
      <c r="G45" s="22" t="b">
        <v>1</v>
      </c>
      <c r="H45" s="22" t="b">
        <v>1</v>
      </c>
      <c r="I45" s="22" t="b">
        <v>1</v>
      </c>
      <c r="J45" s="45" t="b">
        <v>1</v>
      </c>
      <c r="K45" s="15"/>
      <c r="L45" s="15"/>
      <c r="M45" s="15"/>
      <c r="N45" s="15"/>
      <c r="O45" s="15"/>
      <c r="P45" s="15"/>
      <c r="Q45" s="15"/>
      <c r="R45" s="15"/>
    </row>
    <row r="46" spans="1:18">
      <c r="A46" s="15"/>
      <c r="B46" s="21" t="s">
        <v>28</v>
      </c>
      <c r="C46" s="26"/>
      <c r="D46" s="24"/>
      <c r="E46" s="24"/>
      <c r="F46" s="24"/>
      <c r="G46" s="24"/>
      <c r="H46" s="24"/>
      <c r="I46" s="24"/>
      <c r="J46" s="25"/>
      <c r="K46" s="15"/>
      <c r="L46" s="15"/>
      <c r="M46" s="15"/>
      <c r="N46" s="15"/>
      <c r="O46" s="15"/>
      <c r="P46" s="15"/>
      <c r="Q46" s="15"/>
      <c r="R46" s="15"/>
    </row>
    <row r="47" spans="1:18" ht="15" thickBot="1">
      <c r="A47" s="15"/>
      <c r="B47" s="29" t="s">
        <v>26</v>
      </c>
      <c r="C47" s="30"/>
      <c r="D47" s="30"/>
      <c r="E47" s="30"/>
      <c r="F47" s="30"/>
      <c r="G47" s="30"/>
      <c r="H47" s="30"/>
      <c r="I47" s="30"/>
      <c r="J47" s="46"/>
      <c r="K47" s="15"/>
      <c r="L47" s="15"/>
      <c r="M47" s="15"/>
      <c r="N47" s="15"/>
      <c r="O47" s="15"/>
      <c r="P47" s="15"/>
      <c r="Q47" s="15"/>
      <c r="R47" s="15"/>
    </row>
    <row r="48" spans="1:18">
      <c r="A48" s="15"/>
      <c r="B48" s="15"/>
      <c r="C48" s="15"/>
      <c r="D48" s="15"/>
      <c r="E48" s="15"/>
      <c r="F48" s="15"/>
      <c r="G48" s="15"/>
      <c r="H48" s="15"/>
      <c r="I48" s="15"/>
      <c r="J48" s="15"/>
      <c r="K48" s="15"/>
      <c r="L48" s="15"/>
      <c r="M48" s="15"/>
      <c r="N48" s="15"/>
      <c r="O48" s="15"/>
      <c r="P48" s="15"/>
      <c r="Q48" s="15"/>
      <c r="R48" s="15"/>
    </row>
  </sheetData>
  <mergeCells count="6">
    <mergeCell ref="B41:J41"/>
    <mergeCell ref="B1:R1"/>
    <mergeCell ref="B9:Q9"/>
    <mergeCell ref="B17:N17"/>
    <mergeCell ref="B25:N25"/>
    <mergeCell ref="B33:N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8"/>
  <sheetViews>
    <sheetView showGridLines="0" zoomScale="80" zoomScaleNormal="80" workbookViewId="0">
      <pane xSplit="4" ySplit="4" topLeftCell="E5" activePane="bottomRight" state="frozen"/>
      <selection pane="bottomRight" sqref="A1:M1"/>
      <selection pane="bottomLeft"/>
      <selection pane="topRight"/>
    </sheetView>
  </sheetViews>
  <sheetFormatPr defaultRowHeight="14.45"/>
  <cols>
    <col min="1" max="1" width="7" customWidth="1"/>
    <col min="2" max="2" width="20" customWidth="1"/>
    <col min="3" max="3" width="30" customWidth="1"/>
    <col min="4" max="4" width="18" customWidth="1"/>
    <col min="5" max="5" width="44" customWidth="1"/>
    <col min="6" max="6" width="40" customWidth="1"/>
    <col min="7" max="12" width="18" customWidth="1"/>
    <col min="13" max="13" width="32" customWidth="1"/>
  </cols>
  <sheetData>
    <row r="1" spans="1:13" ht="22.15" customHeight="1">
      <c r="A1" s="179" t="s">
        <v>117</v>
      </c>
      <c r="B1" s="208"/>
      <c r="C1" s="208"/>
      <c r="D1" s="208"/>
      <c r="E1" s="208"/>
      <c r="F1" s="208"/>
      <c r="G1" s="208"/>
      <c r="H1" s="208"/>
      <c r="I1" s="208"/>
      <c r="J1" s="208"/>
      <c r="K1" s="208"/>
      <c r="L1" s="208"/>
      <c r="M1" s="206"/>
    </row>
    <row r="2" spans="1:13" ht="18" customHeight="1">
      <c r="A2" s="197" t="s">
        <v>118</v>
      </c>
      <c r="B2" s="209"/>
      <c r="C2" s="209"/>
      <c r="D2" s="209"/>
      <c r="E2" s="209"/>
      <c r="F2" s="209"/>
      <c r="G2" s="209"/>
      <c r="H2" s="209"/>
      <c r="I2" s="209"/>
      <c r="J2" s="209"/>
      <c r="K2" s="209"/>
      <c r="L2" s="209"/>
      <c r="M2" s="207"/>
    </row>
    <row r="3" spans="1:13" ht="15" customHeight="1">
      <c r="A3" s="123" t="s">
        <v>30</v>
      </c>
      <c r="B3" s="76" t="s">
        <v>30</v>
      </c>
      <c r="C3" s="76" t="s">
        <v>30</v>
      </c>
      <c r="D3" s="76" t="s">
        <v>30</v>
      </c>
      <c r="E3" s="76" t="s">
        <v>30</v>
      </c>
      <c r="F3" s="76" t="s">
        <v>30</v>
      </c>
      <c r="G3" s="76" t="s">
        <v>119</v>
      </c>
      <c r="H3" s="76" t="s">
        <v>119</v>
      </c>
      <c r="I3" s="76" t="s">
        <v>119</v>
      </c>
      <c r="J3" s="76" t="s">
        <v>119</v>
      </c>
      <c r="K3" s="76" t="s">
        <v>119</v>
      </c>
      <c r="L3" s="76" t="s">
        <v>119</v>
      </c>
      <c r="M3" s="124" t="s">
        <v>30</v>
      </c>
    </row>
    <row r="4" spans="1:13" ht="15" customHeight="1">
      <c r="A4" s="125" t="s">
        <v>30</v>
      </c>
      <c r="B4" s="77" t="s">
        <v>30</v>
      </c>
      <c r="C4" s="77" t="s">
        <v>30</v>
      </c>
      <c r="D4" s="77" t="s">
        <v>30</v>
      </c>
      <c r="E4" s="77" t="s">
        <v>30</v>
      </c>
      <c r="F4" s="77" t="s">
        <v>30</v>
      </c>
      <c r="G4" s="77" t="s">
        <v>120</v>
      </c>
      <c r="H4" s="77" t="s">
        <v>120</v>
      </c>
      <c r="I4" s="77" t="s">
        <v>120</v>
      </c>
      <c r="J4" s="77" t="s">
        <v>120</v>
      </c>
      <c r="K4" s="77" t="s">
        <v>120</v>
      </c>
      <c r="L4" s="77" t="s">
        <v>120</v>
      </c>
      <c r="M4" s="126" t="s">
        <v>120</v>
      </c>
    </row>
    <row r="5" spans="1:13" ht="44.1" customHeight="1">
      <c r="A5" s="127" t="s">
        <v>54</v>
      </c>
      <c r="B5" s="78" t="s">
        <v>84</v>
      </c>
      <c r="C5" s="78" t="s">
        <v>121</v>
      </c>
      <c r="D5" s="78" t="s">
        <v>90</v>
      </c>
      <c r="E5" s="78" t="s">
        <v>122</v>
      </c>
      <c r="F5" s="78" t="s">
        <v>123</v>
      </c>
      <c r="G5" s="79" t="s">
        <v>124</v>
      </c>
      <c r="H5" s="79" t="s">
        <v>125</v>
      </c>
      <c r="I5" s="79" t="s">
        <v>126</v>
      </c>
      <c r="J5" s="79" t="s">
        <v>127</v>
      </c>
      <c r="K5" s="79" t="s">
        <v>128</v>
      </c>
      <c r="L5" s="79" t="s">
        <v>129</v>
      </c>
      <c r="M5" s="106" t="s">
        <v>130</v>
      </c>
    </row>
    <row r="6" spans="1:13" ht="52.15" customHeight="1">
      <c r="A6" s="128" t="s">
        <v>131</v>
      </c>
      <c r="B6" s="80" t="s">
        <v>132</v>
      </c>
      <c r="C6" s="81" t="s">
        <v>133</v>
      </c>
      <c r="D6" s="80" t="s">
        <v>30</v>
      </c>
      <c r="E6" s="82" t="s">
        <v>134</v>
      </c>
      <c r="F6" s="83" t="s">
        <v>135</v>
      </c>
      <c r="G6" s="84" t="s">
        <v>136</v>
      </c>
      <c r="H6" s="84" t="s">
        <v>136</v>
      </c>
      <c r="I6" s="84" t="s">
        <v>136</v>
      </c>
      <c r="J6" s="84" t="s">
        <v>136</v>
      </c>
      <c r="K6" s="84" t="s">
        <v>136</v>
      </c>
      <c r="L6" s="84" t="s">
        <v>136</v>
      </c>
      <c r="M6" s="129"/>
    </row>
    <row r="7" spans="1:13" ht="52.15" customHeight="1">
      <c r="A7" s="128" t="s">
        <v>137</v>
      </c>
      <c r="B7" s="80" t="s">
        <v>132</v>
      </c>
      <c r="C7" s="85" t="s">
        <v>138</v>
      </c>
      <c r="D7" s="86" t="s">
        <v>139</v>
      </c>
      <c r="E7" s="87" t="s">
        <v>140</v>
      </c>
      <c r="F7" s="88" t="s">
        <v>141</v>
      </c>
      <c r="G7" s="84" t="s">
        <v>136</v>
      </c>
      <c r="H7" s="84" t="s">
        <v>136</v>
      </c>
      <c r="I7" s="84" t="s">
        <v>136</v>
      </c>
      <c r="J7" s="84" t="s">
        <v>136</v>
      </c>
      <c r="K7" s="84" t="s">
        <v>136</v>
      </c>
      <c r="L7" s="84" t="s">
        <v>136</v>
      </c>
      <c r="M7" s="130"/>
    </row>
    <row r="8" spans="1:13" ht="52.15" customHeight="1">
      <c r="A8" s="128" t="s">
        <v>142</v>
      </c>
      <c r="B8" s="80" t="s">
        <v>132</v>
      </c>
      <c r="C8" s="81" t="s">
        <v>143</v>
      </c>
      <c r="D8" s="86" t="s">
        <v>139</v>
      </c>
      <c r="E8" s="82" t="s">
        <v>144</v>
      </c>
      <c r="F8" s="83" t="s">
        <v>145</v>
      </c>
      <c r="G8" s="84" t="s">
        <v>136</v>
      </c>
      <c r="H8" s="84" t="s">
        <v>136</v>
      </c>
      <c r="I8" s="84" t="s">
        <v>136</v>
      </c>
      <c r="J8" s="84" t="s">
        <v>136</v>
      </c>
      <c r="K8" s="84" t="s">
        <v>136</v>
      </c>
      <c r="L8" s="84" t="s">
        <v>136</v>
      </c>
      <c r="M8" s="129"/>
    </row>
    <row r="9" spans="1:13" ht="52.15" customHeight="1">
      <c r="A9" s="131" t="s">
        <v>146</v>
      </c>
      <c r="B9" s="89" t="s">
        <v>147</v>
      </c>
      <c r="C9" s="85" t="s">
        <v>148</v>
      </c>
      <c r="D9" s="80" t="s">
        <v>30</v>
      </c>
      <c r="E9" s="87" t="s">
        <v>149</v>
      </c>
      <c r="F9" s="88" t="s">
        <v>150</v>
      </c>
      <c r="G9" s="84" t="s">
        <v>136</v>
      </c>
      <c r="H9" s="84" t="s">
        <v>136</v>
      </c>
      <c r="I9" s="84" t="s">
        <v>136</v>
      </c>
      <c r="J9" s="84" t="s">
        <v>136</v>
      </c>
      <c r="K9" s="84" t="s">
        <v>136</v>
      </c>
      <c r="L9" s="90" t="s">
        <v>151</v>
      </c>
      <c r="M9" s="130"/>
    </row>
    <row r="10" spans="1:13" ht="52.15" customHeight="1">
      <c r="A10" s="131" t="s">
        <v>152</v>
      </c>
      <c r="B10" s="89" t="s">
        <v>147</v>
      </c>
      <c r="C10" s="81" t="s">
        <v>153</v>
      </c>
      <c r="D10" s="86" t="s">
        <v>139</v>
      </c>
      <c r="E10" s="82" t="s">
        <v>154</v>
      </c>
      <c r="F10" s="83" t="s">
        <v>155</v>
      </c>
      <c r="G10" s="84" t="s">
        <v>136</v>
      </c>
      <c r="H10" s="84" t="s">
        <v>136</v>
      </c>
      <c r="I10" s="84" t="s">
        <v>136</v>
      </c>
      <c r="J10" s="84" t="s">
        <v>136</v>
      </c>
      <c r="K10" s="84" t="s">
        <v>136</v>
      </c>
      <c r="L10" s="90" t="s">
        <v>151</v>
      </c>
      <c r="M10" s="129"/>
    </row>
    <row r="11" spans="1:13" ht="52.15" customHeight="1">
      <c r="A11" s="131" t="s">
        <v>156</v>
      </c>
      <c r="B11" s="89" t="s">
        <v>147</v>
      </c>
      <c r="C11" s="85" t="s">
        <v>157</v>
      </c>
      <c r="D11" s="80" t="s">
        <v>30</v>
      </c>
      <c r="E11" s="87" t="s">
        <v>158</v>
      </c>
      <c r="F11" s="88" t="s">
        <v>159</v>
      </c>
      <c r="G11" s="84" t="s">
        <v>136</v>
      </c>
      <c r="H11" s="84" t="s">
        <v>136</v>
      </c>
      <c r="I11" s="84" t="s">
        <v>136</v>
      </c>
      <c r="J11" s="84" t="s">
        <v>136</v>
      </c>
      <c r="K11" s="84" t="s">
        <v>136</v>
      </c>
      <c r="L11" s="90" t="s">
        <v>151</v>
      </c>
      <c r="M11" s="130"/>
    </row>
    <row r="12" spans="1:13" ht="52.15" customHeight="1">
      <c r="A12" s="131" t="s">
        <v>160</v>
      </c>
      <c r="B12" s="89" t="s">
        <v>147</v>
      </c>
      <c r="C12" s="81" t="s">
        <v>161</v>
      </c>
      <c r="D12" s="89" t="s">
        <v>162</v>
      </c>
      <c r="E12" s="82" t="s">
        <v>163</v>
      </c>
      <c r="F12" s="83" t="s">
        <v>164</v>
      </c>
      <c r="G12" s="84" t="s">
        <v>136</v>
      </c>
      <c r="H12" s="84" t="s">
        <v>136</v>
      </c>
      <c r="I12" s="84" t="s">
        <v>136</v>
      </c>
      <c r="J12" s="84" t="s">
        <v>136</v>
      </c>
      <c r="K12" s="84" t="s">
        <v>136</v>
      </c>
      <c r="L12" s="90" t="s">
        <v>151</v>
      </c>
      <c r="M12" s="129"/>
    </row>
    <row r="13" spans="1:13" ht="52.15" customHeight="1">
      <c r="A13" s="132" t="s">
        <v>165</v>
      </c>
      <c r="B13" s="86" t="s">
        <v>166</v>
      </c>
      <c r="C13" s="85" t="s">
        <v>167</v>
      </c>
      <c r="D13" s="80" t="s">
        <v>30</v>
      </c>
      <c r="E13" s="87" t="s">
        <v>168</v>
      </c>
      <c r="F13" s="88" t="s">
        <v>169</v>
      </c>
      <c r="G13" s="84" t="s">
        <v>136</v>
      </c>
      <c r="H13" s="84" t="s">
        <v>136</v>
      </c>
      <c r="I13" s="90" t="s">
        <v>151</v>
      </c>
      <c r="J13" s="90" t="s">
        <v>151</v>
      </c>
      <c r="K13" s="84" t="s">
        <v>136</v>
      </c>
      <c r="L13" s="91" t="s">
        <v>170</v>
      </c>
      <c r="M13" s="130"/>
    </row>
    <row r="14" spans="1:13" ht="52.15" customHeight="1">
      <c r="A14" s="132" t="s">
        <v>171</v>
      </c>
      <c r="B14" s="86" t="s">
        <v>166</v>
      </c>
      <c r="C14" s="81" t="s">
        <v>172</v>
      </c>
      <c r="D14" s="89" t="s">
        <v>162</v>
      </c>
      <c r="E14" s="82" t="s">
        <v>173</v>
      </c>
      <c r="F14" s="83" t="s">
        <v>174</v>
      </c>
      <c r="G14" s="84" t="s">
        <v>136</v>
      </c>
      <c r="H14" s="84" t="s">
        <v>136</v>
      </c>
      <c r="I14" s="90" t="s">
        <v>151</v>
      </c>
      <c r="J14" s="90" t="s">
        <v>151</v>
      </c>
      <c r="K14" s="84" t="s">
        <v>136</v>
      </c>
      <c r="L14" s="91" t="s">
        <v>170</v>
      </c>
      <c r="M14" s="129"/>
    </row>
    <row r="15" spans="1:13" ht="52.15" customHeight="1">
      <c r="A15" s="132" t="s">
        <v>175</v>
      </c>
      <c r="B15" s="86" t="s">
        <v>166</v>
      </c>
      <c r="C15" s="85" t="s">
        <v>176</v>
      </c>
      <c r="D15" s="86" t="s">
        <v>139</v>
      </c>
      <c r="E15" s="87" t="s">
        <v>177</v>
      </c>
      <c r="F15" s="88" t="s">
        <v>178</v>
      </c>
      <c r="G15" s="84" t="s">
        <v>136</v>
      </c>
      <c r="H15" s="84" t="s">
        <v>136</v>
      </c>
      <c r="I15" s="90" t="s">
        <v>151</v>
      </c>
      <c r="J15" s="90" t="s">
        <v>151</v>
      </c>
      <c r="K15" s="84" t="s">
        <v>136</v>
      </c>
      <c r="L15" s="91" t="s">
        <v>170</v>
      </c>
      <c r="M15" s="130"/>
    </row>
    <row r="16" spans="1:13" ht="52.15" customHeight="1">
      <c r="A16" s="132" t="s">
        <v>179</v>
      </c>
      <c r="B16" s="86" t="s">
        <v>166</v>
      </c>
      <c r="C16" s="81" t="s">
        <v>180</v>
      </c>
      <c r="D16" s="89" t="s">
        <v>162</v>
      </c>
      <c r="E16" s="82" t="s">
        <v>181</v>
      </c>
      <c r="F16" s="83" t="s">
        <v>182</v>
      </c>
      <c r="G16" s="84" t="s">
        <v>136</v>
      </c>
      <c r="H16" s="84" t="s">
        <v>136</v>
      </c>
      <c r="I16" s="90" t="s">
        <v>151</v>
      </c>
      <c r="J16" s="90" t="s">
        <v>151</v>
      </c>
      <c r="K16" s="84" t="s">
        <v>136</v>
      </c>
      <c r="L16" s="91" t="s">
        <v>170</v>
      </c>
      <c r="M16" s="129"/>
    </row>
    <row r="17" spans="1:13" ht="52.15" customHeight="1">
      <c r="A17" s="133" t="s">
        <v>183</v>
      </c>
      <c r="B17" s="92" t="s">
        <v>184</v>
      </c>
      <c r="C17" s="85" t="s">
        <v>185</v>
      </c>
      <c r="D17" s="89" t="s">
        <v>162</v>
      </c>
      <c r="E17" s="87" t="s">
        <v>186</v>
      </c>
      <c r="F17" s="88" t="s">
        <v>187</v>
      </c>
      <c r="G17" s="90" t="s">
        <v>151</v>
      </c>
      <c r="H17" s="90" t="s">
        <v>151</v>
      </c>
      <c r="I17" s="91" t="s">
        <v>170</v>
      </c>
      <c r="J17" s="91" t="s">
        <v>170</v>
      </c>
      <c r="K17" s="90" t="s">
        <v>151</v>
      </c>
      <c r="L17" s="91" t="s">
        <v>170</v>
      </c>
      <c r="M17" s="130"/>
    </row>
    <row r="18" spans="1:13" ht="52.15" customHeight="1">
      <c r="A18" s="133" t="s">
        <v>188</v>
      </c>
      <c r="B18" s="92" t="s">
        <v>184</v>
      </c>
      <c r="C18" s="81" t="s">
        <v>189</v>
      </c>
      <c r="D18" s="89" t="s">
        <v>162</v>
      </c>
      <c r="E18" s="82" t="s">
        <v>190</v>
      </c>
      <c r="F18" s="83" t="s">
        <v>191</v>
      </c>
      <c r="G18" s="90" t="s">
        <v>151</v>
      </c>
      <c r="H18" s="90" t="s">
        <v>151</v>
      </c>
      <c r="I18" s="91" t="s">
        <v>170</v>
      </c>
      <c r="J18" s="91" t="s">
        <v>170</v>
      </c>
      <c r="K18" s="90" t="s">
        <v>151</v>
      </c>
      <c r="L18" s="91" t="s">
        <v>170</v>
      </c>
      <c r="M18" s="129"/>
    </row>
    <row r="19" spans="1:13" ht="52.15" customHeight="1">
      <c r="A19" s="133" t="s">
        <v>192</v>
      </c>
      <c r="B19" s="92" t="s">
        <v>184</v>
      </c>
      <c r="C19" s="85" t="s">
        <v>193</v>
      </c>
      <c r="D19" s="80" t="s">
        <v>30</v>
      </c>
      <c r="E19" s="87" t="s">
        <v>194</v>
      </c>
      <c r="F19" s="88" t="s">
        <v>195</v>
      </c>
      <c r="G19" s="90" t="s">
        <v>151</v>
      </c>
      <c r="H19" s="90" t="s">
        <v>151</v>
      </c>
      <c r="I19" s="91" t="s">
        <v>170</v>
      </c>
      <c r="J19" s="91" t="s">
        <v>170</v>
      </c>
      <c r="K19" s="90" t="s">
        <v>151</v>
      </c>
      <c r="L19" s="91" t="s">
        <v>170</v>
      </c>
      <c r="M19" s="130"/>
    </row>
    <row r="20" spans="1:13" ht="52.15" customHeight="1">
      <c r="A20" s="133" t="s">
        <v>196</v>
      </c>
      <c r="B20" s="92" t="s">
        <v>184</v>
      </c>
      <c r="C20" s="81" t="s">
        <v>197</v>
      </c>
      <c r="D20" s="89" t="s">
        <v>162</v>
      </c>
      <c r="E20" s="82" t="s">
        <v>198</v>
      </c>
      <c r="F20" s="83" t="s">
        <v>199</v>
      </c>
      <c r="G20" s="90" t="s">
        <v>151</v>
      </c>
      <c r="H20" s="90" t="s">
        <v>151</v>
      </c>
      <c r="I20" s="91" t="s">
        <v>170</v>
      </c>
      <c r="J20" s="91" t="s">
        <v>170</v>
      </c>
      <c r="K20" s="90" t="s">
        <v>151</v>
      </c>
      <c r="L20" s="91" t="s">
        <v>170</v>
      </c>
      <c r="M20" s="129"/>
    </row>
    <row r="21" spans="1:13" ht="52.15" customHeight="1">
      <c r="A21" s="133" t="s">
        <v>200</v>
      </c>
      <c r="B21" s="92" t="s">
        <v>184</v>
      </c>
      <c r="C21" s="85" t="s">
        <v>201</v>
      </c>
      <c r="D21" s="86" t="s">
        <v>139</v>
      </c>
      <c r="E21" s="87" t="s">
        <v>202</v>
      </c>
      <c r="F21" s="88" t="s">
        <v>203</v>
      </c>
      <c r="G21" s="90" t="s">
        <v>151</v>
      </c>
      <c r="H21" s="90" t="s">
        <v>151</v>
      </c>
      <c r="I21" s="91" t="s">
        <v>170</v>
      </c>
      <c r="J21" s="91" t="s">
        <v>170</v>
      </c>
      <c r="K21" s="90" t="s">
        <v>151</v>
      </c>
      <c r="L21" s="91" t="s">
        <v>170</v>
      </c>
      <c r="M21" s="130"/>
    </row>
    <row r="22" spans="1:13" ht="52.15" customHeight="1">
      <c r="A22" s="133" t="s">
        <v>204</v>
      </c>
      <c r="B22" s="92" t="s">
        <v>184</v>
      </c>
      <c r="C22" s="81" t="s">
        <v>205</v>
      </c>
      <c r="D22" s="89" t="s">
        <v>162</v>
      </c>
      <c r="E22" s="82" t="s">
        <v>206</v>
      </c>
      <c r="F22" s="83" t="s">
        <v>207</v>
      </c>
      <c r="G22" s="90" t="s">
        <v>151</v>
      </c>
      <c r="H22" s="90" t="s">
        <v>151</v>
      </c>
      <c r="I22" s="91" t="s">
        <v>170</v>
      </c>
      <c r="J22" s="91" t="s">
        <v>170</v>
      </c>
      <c r="K22" s="90" t="s">
        <v>151</v>
      </c>
      <c r="L22" s="91" t="s">
        <v>170</v>
      </c>
      <c r="M22" s="129"/>
    </row>
    <row r="23" spans="1:13" ht="52.15" customHeight="1">
      <c r="A23" s="134" t="s">
        <v>208</v>
      </c>
      <c r="B23" s="93" t="s">
        <v>209</v>
      </c>
      <c r="C23" s="85" t="s">
        <v>210</v>
      </c>
      <c r="D23" s="86" t="s">
        <v>139</v>
      </c>
      <c r="E23" s="87" t="s">
        <v>211</v>
      </c>
      <c r="F23" s="88" t="s">
        <v>212</v>
      </c>
      <c r="G23" s="91" t="s">
        <v>170</v>
      </c>
      <c r="H23" s="91" t="s">
        <v>170</v>
      </c>
      <c r="I23" s="91" t="s">
        <v>170</v>
      </c>
      <c r="J23" s="91" t="s">
        <v>170</v>
      </c>
      <c r="K23" s="91" t="s">
        <v>170</v>
      </c>
      <c r="L23" s="91" t="s">
        <v>170</v>
      </c>
      <c r="M23" s="130"/>
    </row>
    <row r="24" spans="1:13" ht="52.15" customHeight="1">
      <c r="A24" s="134" t="s">
        <v>213</v>
      </c>
      <c r="B24" s="93" t="s">
        <v>209</v>
      </c>
      <c r="C24" s="81" t="s">
        <v>214</v>
      </c>
      <c r="D24" s="80" t="s">
        <v>30</v>
      </c>
      <c r="E24" s="82" t="s">
        <v>215</v>
      </c>
      <c r="F24" s="83" t="s">
        <v>216</v>
      </c>
      <c r="G24" s="91" t="s">
        <v>170</v>
      </c>
      <c r="H24" s="91" t="s">
        <v>170</v>
      </c>
      <c r="I24" s="91" t="s">
        <v>170</v>
      </c>
      <c r="J24" s="91" t="s">
        <v>170</v>
      </c>
      <c r="K24" s="91" t="s">
        <v>170</v>
      </c>
      <c r="L24" s="91" t="s">
        <v>170</v>
      </c>
      <c r="M24" s="129"/>
    </row>
    <row r="25" spans="1:13" ht="52.15" customHeight="1">
      <c r="A25" s="134" t="s">
        <v>217</v>
      </c>
      <c r="B25" s="93" t="s">
        <v>209</v>
      </c>
      <c r="C25" s="85" t="s">
        <v>218</v>
      </c>
      <c r="D25" s="89" t="s">
        <v>162</v>
      </c>
      <c r="E25" s="87" t="s">
        <v>219</v>
      </c>
      <c r="F25" s="88" t="s">
        <v>220</v>
      </c>
      <c r="G25" s="91" t="s">
        <v>170</v>
      </c>
      <c r="H25" s="91" t="s">
        <v>170</v>
      </c>
      <c r="I25" s="91" t="s">
        <v>170</v>
      </c>
      <c r="J25" s="91" t="s">
        <v>170</v>
      </c>
      <c r="K25" s="91" t="s">
        <v>170</v>
      </c>
      <c r="L25" s="91" t="s">
        <v>170</v>
      </c>
      <c r="M25" s="130"/>
    </row>
    <row r="26" spans="1:13" ht="52.15" customHeight="1" thickBot="1">
      <c r="A26" s="135" t="s">
        <v>221</v>
      </c>
      <c r="B26" s="136" t="s">
        <v>209</v>
      </c>
      <c r="C26" s="137" t="s">
        <v>222</v>
      </c>
      <c r="D26" s="138" t="s">
        <v>30</v>
      </c>
      <c r="E26" s="139" t="s">
        <v>223</v>
      </c>
      <c r="F26" s="140" t="s">
        <v>224</v>
      </c>
      <c r="G26" s="141" t="s">
        <v>170</v>
      </c>
      <c r="H26" s="141" t="s">
        <v>170</v>
      </c>
      <c r="I26" s="141" t="s">
        <v>170</v>
      </c>
      <c r="J26" s="141" t="s">
        <v>170</v>
      </c>
      <c r="K26" s="141" t="s">
        <v>170</v>
      </c>
      <c r="L26" s="141" t="s">
        <v>170</v>
      </c>
      <c r="M26" s="142"/>
    </row>
    <row r="28" spans="1:13" ht="18" customHeight="1">
      <c r="A28" s="198" t="s">
        <v>225</v>
      </c>
      <c r="B28" s="210"/>
      <c r="C28" s="210"/>
      <c r="D28" s="210"/>
      <c r="E28" s="210"/>
      <c r="F28" s="210"/>
      <c r="G28" s="210"/>
      <c r="H28" s="210"/>
      <c r="I28" s="210"/>
      <c r="J28" s="210"/>
      <c r="K28" s="210"/>
      <c r="L28" s="210"/>
      <c r="M28" s="210"/>
    </row>
  </sheetData>
  <mergeCells count="3">
    <mergeCell ref="A2:M2"/>
    <mergeCell ref="A1:M1"/>
    <mergeCell ref="A28:M28"/>
  </mergeCells>
  <dataValidations count="1">
    <dataValidation type="list" allowBlank="1" errorTitle="Invalid entry" error="Use the dropdown list." sqref="G6:L26" xr:uid="{00000000-0002-0000-0400-000000000000}">
      <formula1>"Not Started,Complete,In Progress,Flagged,N/A"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2"/>
  <sheetViews>
    <sheetView showGridLines="0" zoomScale="80" zoomScaleNormal="80" workbookViewId="0">
      <pane ySplit="1" topLeftCell="A2" activePane="bottomLeft" state="frozen"/>
      <selection pane="bottomLeft" activeCell="C10" sqref="C10"/>
    </sheetView>
  </sheetViews>
  <sheetFormatPr defaultRowHeight="14.45"/>
  <cols>
    <col min="1" max="1" width="14.140625" bestFit="1" customWidth="1"/>
    <col min="2" max="2" width="27.140625" customWidth="1"/>
    <col min="3" max="3" width="18" customWidth="1"/>
    <col min="4" max="4" width="18.28515625" customWidth="1"/>
    <col min="5" max="5" width="16" style="50" customWidth="1"/>
    <col min="6" max="6" width="14" customWidth="1"/>
    <col min="7" max="7" width="18.42578125" customWidth="1"/>
    <col min="8" max="8" width="16.7109375" customWidth="1"/>
    <col min="9" max="12" width="14" customWidth="1"/>
    <col min="13" max="13" width="17.7109375" customWidth="1"/>
    <col min="14" max="14" width="13.5703125" bestFit="1" customWidth="1"/>
    <col min="15" max="15" width="16" customWidth="1"/>
    <col min="16" max="16" width="36.42578125" customWidth="1"/>
  </cols>
  <sheetData>
    <row r="1" spans="1:16" ht="20.100000000000001" customHeight="1">
      <c r="A1" s="179" t="s">
        <v>226</v>
      </c>
      <c r="B1" s="208"/>
      <c r="C1" s="208"/>
      <c r="D1" s="208"/>
      <c r="E1" s="208"/>
      <c r="F1" s="208"/>
      <c r="G1" s="208"/>
      <c r="H1" s="208"/>
      <c r="I1" s="208"/>
      <c r="J1" s="208"/>
      <c r="K1" s="208"/>
      <c r="L1" s="208"/>
      <c r="M1" s="208"/>
      <c r="N1" s="208"/>
      <c r="O1" s="208"/>
      <c r="P1" s="206"/>
    </row>
    <row r="2" spans="1:16" ht="14.65" customHeight="1">
      <c r="A2" s="176" t="s">
        <v>227</v>
      </c>
      <c r="B2" s="209"/>
      <c r="C2" s="209"/>
      <c r="D2" s="177" t="s">
        <v>228</v>
      </c>
      <c r="E2" s="209"/>
      <c r="F2" s="209"/>
      <c r="G2" s="209"/>
      <c r="H2" s="209"/>
      <c r="I2" s="178" t="s">
        <v>229</v>
      </c>
      <c r="J2" s="209"/>
      <c r="K2" s="209"/>
      <c r="L2" s="200" t="s">
        <v>230</v>
      </c>
      <c r="M2" s="209"/>
      <c r="N2" s="209"/>
      <c r="O2" s="199" t="s">
        <v>231</v>
      </c>
      <c r="P2" s="207"/>
    </row>
    <row r="3" spans="1:16" ht="28.15" customHeight="1">
      <c r="A3" s="18" t="s">
        <v>30</v>
      </c>
      <c r="B3" s="1" t="s">
        <v>30</v>
      </c>
      <c r="C3" s="1" t="s">
        <v>30</v>
      </c>
      <c r="D3" s="1" t="s">
        <v>30</v>
      </c>
      <c r="E3" s="1" t="s">
        <v>119</v>
      </c>
      <c r="F3" s="1" t="s">
        <v>119</v>
      </c>
      <c r="G3" s="1" t="s">
        <v>30</v>
      </c>
      <c r="H3" s="1" t="s">
        <v>30</v>
      </c>
      <c r="I3" s="1" t="s">
        <v>119</v>
      </c>
      <c r="J3" s="1" t="s">
        <v>119</v>
      </c>
      <c r="K3" s="1" t="s">
        <v>232</v>
      </c>
      <c r="L3" s="1" t="s">
        <v>232</v>
      </c>
      <c r="M3" s="1" t="s">
        <v>30</v>
      </c>
      <c r="N3" s="1" t="s">
        <v>232</v>
      </c>
      <c r="O3" s="1" t="s">
        <v>119</v>
      </c>
      <c r="P3" s="20" t="s">
        <v>119</v>
      </c>
    </row>
    <row r="4" spans="1:16" ht="55.9" customHeight="1">
      <c r="A4" s="18" t="s">
        <v>233</v>
      </c>
      <c r="B4" s="1" t="s">
        <v>233</v>
      </c>
      <c r="C4" s="1" t="s">
        <v>233</v>
      </c>
      <c r="D4" s="1" t="s">
        <v>233</v>
      </c>
      <c r="E4" s="1" t="s">
        <v>120</v>
      </c>
      <c r="F4" s="1" t="s">
        <v>120</v>
      </c>
      <c r="G4" s="1" t="s">
        <v>233</v>
      </c>
      <c r="H4" s="1" t="s">
        <v>233</v>
      </c>
      <c r="I4" s="1" t="s">
        <v>120</v>
      </c>
      <c r="J4" s="1" t="s">
        <v>120</v>
      </c>
      <c r="K4" s="1" t="s">
        <v>234</v>
      </c>
      <c r="L4" s="1" t="s">
        <v>234</v>
      </c>
      <c r="M4" s="1" t="s">
        <v>233</v>
      </c>
      <c r="N4" s="1" t="s">
        <v>234</v>
      </c>
      <c r="O4" s="1" t="s">
        <v>120</v>
      </c>
      <c r="P4" s="20" t="s">
        <v>120</v>
      </c>
    </row>
    <row r="5" spans="1:16" ht="28.15" customHeight="1">
      <c r="A5" s="105" t="s">
        <v>54</v>
      </c>
      <c r="B5" s="79" t="s">
        <v>55</v>
      </c>
      <c r="C5" s="79" t="s">
        <v>56</v>
      </c>
      <c r="D5" s="79" t="s">
        <v>235</v>
      </c>
      <c r="E5" s="79" t="s">
        <v>58</v>
      </c>
      <c r="F5" s="79" t="s">
        <v>1</v>
      </c>
      <c r="G5" s="79" t="s">
        <v>59</v>
      </c>
      <c r="H5" s="79" t="s">
        <v>60</v>
      </c>
      <c r="I5" s="79" t="s">
        <v>61</v>
      </c>
      <c r="J5" s="79" t="s">
        <v>62</v>
      </c>
      <c r="K5" s="79" t="s">
        <v>63</v>
      </c>
      <c r="L5" s="79" t="s">
        <v>64</v>
      </c>
      <c r="M5" s="79" t="s">
        <v>65</v>
      </c>
      <c r="N5" s="79" t="s">
        <v>66</v>
      </c>
      <c r="O5" s="79" t="s">
        <v>67</v>
      </c>
      <c r="P5" s="106" t="s">
        <v>68</v>
      </c>
    </row>
    <row r="6" spans="1:16" ht="26.45">
      <c r="A6" s="143" t="s">
        <v>236</v>
      </c>
      <c r="B6" s="53" t="s">
        <v>237</v>
      </c>
      <c r="C6" s="53" t="s">
        <v>238</v>
      </c>
      <c r="D6" s="53" t="s">
        <v>239</v>
      </c>
      <c r="E6" s="64"/>
      <c r="F6" s="98" t="s">
        <v>240</v>
      </c>
      <c r="G6" s="67">
        <v>45839</v>
      </c>
      <c r="H6" s="67">
        <v>46387</v>
      </c>
      <c r="I6" s="67"/>
      <c r="J6" s="64"/>
      <c r="K6" s="99"/>
      <c r="L6" s="100"/>
      <c r="M6" s="53" t="s">
        <v>241</v>
      </c>
      <c r="N6" s="53" t="s">
        <v>242</v>
      </c>
      <c r="O6" s="53"/>
      <c r="P6" s="144"/>
    </row>
    <row r="7" spans="1:16" s="49" customFormat="1" ht="39.6">
      <c r="A7" s="211" t="s">
        <v>243</v>
      </c>
      <c r="B7" s="52" t="s">
        <v>244</v>
      </c>
      <c r="C7" s="52" t="s">
        <v>238</v>
      </c>
      <c r="D7" s="53" t="s">
        <v>239</v>
      </c>
      <c r="E7" s="64"/>
      <c r="F7" s="98" t="s">
        <v>240</v>
      </c>
      <c r="G7" s="61">
        <v>46027</v>
      </c>
      <c r="H7" s="61">
        <v>46122</v>
      </c>
      <c r="I7" s="67">
        <v>46371</v>
      </c>
      <c r="J7" s="58"/>
      <c r="K7" s="212"/>
      <c r="L7" s="100"/>
      <c r="M7" s="52" t="s">
        <v>245</v>
      </c>
      <c r="N7" s="101" t="s">
        <v>242</v>
      </c>
      <c r="O7" s="52"/>
      <c r="P7" s="146"/>
    </row>
    <row r="8" spans="1:16" s="49" customFormat="1" ht="26.45">
      <c r="A8" s="143" t="s">
        <v>246</v>
      </c>
      <c r="B8" s="53" t="s">
        <v>247</v>
      </c>
      <c r="C8" s="53" t="s">
        <v>238</v>
      </c>
      <c r="D8" s="53" t="s">
        <v>239</v>
      </c>
      <c r="E8" s="64" t="s">
        <v>248</v>
      </c>
      <c r="F8" s="98" t="s">
        <v>240</v>
      </c>
      <c r="G8" s="67">
        <v>46054</v>
      </c>
      <c r="H8" s="67">
        <v>46265</v>
      </c>
      <c r="I8" s="67"/>
      <c r="J8" s="64"/>
      <c r="K8" s="99"/>
      <c r="L8" s="100"/>
      <c r="M8" s="53" t="s">
        <v>249</v>
      </c>
      <c r="N8" s="53" t="s">
        <v>242</v>
      </c>
      <c r="O8" s="53"/>
      <c r="P8" s="144"/>
    </row>
    <row r="9" spans="1:16" s="49" customFormat="1" ht="26.45">
      <c r="A9" s="211"/>
      <c r="B9" s="52" t="s">
        <v>250</v>
      </c>
      <c r="C9" s="52" t="s">
        <v>238</v>
      </c>
      <c r="D9" s="53" t="s">
        <v>239</v>
      </c>
      <c r="E9" s="64"/>
      <c r="F9" s="98" t="s">
        <v>240</v>
      </c>
      <c r="G9" s="61">
        <v>46082</v>
      </c>
      <c r="H9" s="61">
        <v>46387</v>
      </c>
      <c r="I9" s="67"/>
      <c r="J9" s="58"/>
      <c r="K9" s="212"/>
      <c r="L9" s="100"/>
      <c r="M9" s="52" t="s">
        <v>251</v>
      </c>
      <c r="N9" s="52" t="s">
        <v>242</v>
      </c>
      <c r="O9" s="52"/>
      <c r="P9" s="146" t="s">
        <v>252</v>
      </c>
    </row>
    <row r="10" spans="1:16" s="49" customFormat="1" ht="26.45">
      <c r="A10" s="211" t="s">
        <v>253</v>
      </c>
      <c r="B10" s="52" t="s">
        <v>254</v>
      </c>
      <c r="C10" s="52" t="s">
        <v>255</v>
      </c>
      <c r="D10" s="52" t="s">
        <v>239</v>
      </c>
      <c r="E10" s="64"/>
      <c r="F10" s="98" t="s">
        <v>256</v>
      </c>
      <c r="G10" s="61">
        <v>45870</v>
      </c>
      <c r="H10" s="61">
        <v>46934</v>
      </c>
      <c r="I10" s="67"/>
      <c r="J10" s="58"/>
      <c r="K10" s="212"/>
      <c r="L10" s="100"/>
      <c r="M10" s="52" t="s">
        <v>257</v>
      </c>
      <c r="N10" s="52" t="s">
        <v>257</v>
      </c>
      <c r="O10" s="52"/>
      <c r="P10" s="146" t="s">
        <v>258</v>
      </c>
    </row>
    <row r="11" spans="1:16" s="49" customFormat="1" ht="26.45">
      <c r="A11" s="211" t="s">
        <v>259</v>
      </c>
      <c r="B11" s="52" t="s">
        <v>260</v>
      </c>
      <c r="C11" s="52" t="s">
        <v>255</v>
      </c>
      <c r="D11" s="52" t="s">
        <v>239</v>
      </c>
      <c r="E11" s="64"/>
      <c r="F11" s="98" t="s">
        <v>240</v>
      </c>
      <c r="G11" s="61">
        <v>45931</v>
      </c>
      <c r="H11" s="61">
        <v>46142</v>
      </c>
      <c r="I11" s="67"/>
      <c r="J11" s="58"/>
      <c r="K11" s="212"/>
      <c r="L11" s="100"/>
      <c r="M11" s="52" t="s">
        <v>257</v>
      </c>
      <c r="N11" s="52" t="s">
        <v>257</v>
      </c>
      <c r="O11" s="52"/>
      <c r="P11" s="146" t="s">
        <v>261</v>
      </c>
    </row>
    <row r="12" spans="1:16" s="49" customFormat="1" ht="26.45">
      <c r="A12" s="211" t="s">
        <v>262</v>
      </c>
      <c r="B12" s="52" t="s">
        <v>263</v>
      </c>
      <c r="C12" s="52" t="s">
        <v>264</v>
      </c>
      <c r="D12" s="52" t="s">
        <v>239</v>
      </c>
      <c r="E12" s="64"/>
      <c r="F12" s="98" t="s">
        <v>240</v>
      </c>
      <c r="G12" s="61">
        <v>45748</v>
      </c>
      <c r="H12" s="61">
        <v>46477</v>
      </c>
      <c r="I12" s="67"/>
      <c r="J12" s="58"/>
      <c r="K12" s="212"/>
      <c r="L12" s="100"/>
      <c r="M12" s="52" t="s">
        <v>265</v>
      </c>
      <c r="N12" s="52" t="s">
        <v>266</v>
      </c>
      <c r="O12" s="52"/>
      <c r="P12" s="146"/>
    </row>
    <row r="13" spans="1:16" s="49" customFormat="1" ht="26.45">
      <c r="A13" s="211"/>
      <c r="B13" s="52" t="s">
        <v>267</v>
      </c>
      <c r="C13" s="52" t="s">
        <v>264</v>
      </c>
      <c r="D13" s="52" t="s">
        <v>239</v>
      </c>
      <c r="E13" s="64"/>
      <c r="F13" s="98" t="s">
        <v>240</v>
      </c>
      <c r="G13" s="61">
        <v>46143</v>
      </c>
      <c r="H13" s="61">
        <v>46325</v>
      </c>
      <c r="I13" s="67"/>
      <c r="J13" s="58"/>
      <c r="K13" s="212"/>
      <c r="L13" s="100"/>
      <c r="M13" s="52" t="s">
        <v>265</v>
      </c>
      <c r="N13" s="52" t="s">
        <v>266</v>
      </c>
      <c r="O13" s="52"/>
      <c r="P13" s="146" t="s">
        <v>252</v>
      </c>
    </row>
    <row r="14" spans="1:16" s="49" customFormat="1" ht="26.45">
      <c r="A14" s="143"/>
      <c r="B14" s="53" t="s">
        <v>268</v>
      </c>
      <c r="C14" s="53" t="s">
        <v>269</v>
      </c>
      <c r="D14" s="52" t="s">
        <v>239</v>
      </c>
      <c r="E14" s="64"/>
      <c r="F14" s="98" t="s">
        <v>240</v>
      </c>
      <c r="G14" s="67">
        <v>46113</v>
      </c>
      <c r="H14" s="67">
        <v>46418</v>
      </c>
      <c r="I14" s="67"/>
      <c r="J14" s="58"/>
      <c r="K14" s="212"/>
      <c r="L14" s="100"/>
      <c r="M14" s="52" t="s">
        <v>265</v>
      </c>
      <c r="N14" s="52" t="s">
        <v>270</v>
      </c>
      <c r="O14" s="52"/>
      <c r="P14" s="146" t="s">
        <v>252</v>
      </c>
    </row>
    <row r="15" spans="1:16" s="49" customFormat="1" ht="26.45">
      <c r="A15" s="211"/>
      <c r="B15" s="52" t="s">
        <v>271</v>
      </c>
      <c r="C15" s="52" t="s">
        <v>269</v>
      </c>
      <c r="D15" s="52" t="s">
        <v>239</v>
      </c>
      <c r="E15" s="64" t="s">
        <v>272</v>
      </c>
      <c r="F15" s="98" t="s">
        <v>240</v>
      </c>
      <c r="G15" s="61">
        <v>46113</v>
      </c>
      <c r="H15" s="67">
        <v>46387</v>
      </c>
      <c r="I15" s="67"/>
      <c r="J15" s="58"/>
      <c r="K15" s="212"/>
      <c r="L15" s="100"/>
      <c r="M15" s="52" t="s">
        <v>265</v>
      </c>
      <c r="N15" s="52" t="s">
        <v>270</v>
      </c>
      <c r="O15" s="52"/>
      <c r="P15" s="146" t="s">
        <v>252</v>
      </c>
    </row>
    <row r="16" spans="1:16" s="49" customFormat="1" ht="26.45">
      <c r="A16" s="211" t="s">
        <v>273</v>
      </c>
      <c r="B16" s="52" t="s">
        <v>274</v>
      </c>
      <c r="C16" s="52" t="s">
        <v>269</v>
      </c>
      <c r="D16" s="52" t="s">
        <v>239</v>
      </c>
      <c r="E16" s="64" t="s">
        <v>272</v>
      </c>
      <c r="F16" s="98" t="s">
        <v>240</v>
      </c>
      <c r="G16" s="61">
        <v>46089.375</v>
      </c>
      <c r="H16" s="61">
        <v>46418</v>
      </c>
      <c r="I16" s="67"/>
      <c r="J16" s="58"/>
      <c r="K16" s="212"/>
      <c r="L16" s="100"/>
      <c r="M16" s="52" t="s">
        <v>265</v>
      </c>
      <c r="N16" s="52" t="s">
        <v>270</v>
      </c>
      <c r="O16" s="52"/>
      <c r="P16" s="146"/>
    </row>
    <row r="17" spans="1:16" s="49" customFormat="1" ht="26.45">
      <c r="A17" s="211" t="s">
        <v>275</v>
      </c>
      <c r="B17" s="52" t="s">
        <v>276</v>
      </c>
      <c r="C17" s="52" t="s">
        <v>269</v>
      </c>
      <c r="D17" s="52" t="s">
        <v>239</v>
      </c>
      <c r="E17" s="64"/>
      <c r="F17" s="98" t="s">
        <v>240</v>
      </c>
      <c r="G17" s="61">
        <v>45665</v>
      </c>
      <c r="H17" s="61">
        <v>46356</v>
      </c>
      <c r="I17" s="67"/>
      <c r="J17" s="58"/>
      <c r="K17" s="212"/>
      <c r="L17" s="100"/>
      <c r="M17" s="52" t="s">
        <v>265</v>
      </c>
      <c r="N17" s="52" t="s">
        <v>270</v>
      </c>
      <c r="O17" s="52"/>
      <c r="P17" s="146"/>
    </row>
    <row r="18" spans="1:16" s="49" customFormat="1" ht="39.6">
      <c r="A18" s="211" t="s">
        <v>277</v>
      </c>
      <c r="B18" s="52" t="s">
        <v>278</v>
      </c>
      <c r="C18" s="52" t="s">
        <v>269</v>
      </c>
      <c r="D18" s="52" t="s">
        <v>239</v>
      </c>
      <c r="E18" s="64"/>
      <c r="F18" s="98" t="s">
        <v>240</v>
      </c>
      <c r="G18" s="61">
        <v>45748</v>
      </c>
      <c r="H18" s="61">
        <v>46387</v>
      </c>
      <c r="I18" s="67"/>
      <c r="J18" s="58"/>
      <c r="K18" s="212"/>
      <c r="L18" s="100"/>
      <c r="M18" s="53" t="s">
        <v>265</v>
      </c>
      <c r="N18" s="52" t="s">
        <v>270</v>
      </c>
      <c r="O18" s="52"/>
      <c r="P18" s="146"/>
    </row>
    <row r="19" spans="1:16" s="49" customFormat="1" ht="26.45">
      <c r="A19" s="145" t="s">
        <v>279</v>
      </c>
      <c r="B19" s="95" t="s">
        <v>280</v>
      </c>
      <c r="C19" s="95" t="s">
        <v>281</v>
      </c>
      <c r="D19" s="52" t="s">
        <v>239</v>
      </c>
      <c r="E19" s="64"/>
      <c r="F19" s="98" t="s">
        <v>240</v>
      </c>
      <c r="G19" s="102">
        <v>46113</v>
      </c>
      <c r="H19" s="102">
        <v>46477</v>
      </c>
      <c r="I19" s="67"/>
      <c r="J19" s="58"/>
      <c r="K19" s="212"/>
      <c r="L19" s="100"/>
      <c r="M19" s="95" t="s">
        <v>282</v>
      </c>
      <c r="N19" s="52" t="s">
        <v>283</v>
      </c>
      <c r="O19" s="52"/>
      <c r="P19" s="146" t="s">
        <v>284</v>
      </c>
    </row>
    <row r="20" spans="1:16" s="49" customFormat="1" ht="27" thickBot="1">
      <c r="A20" s="149" t="s">
        <v>285</v>
      </c>
      <c r="B20" s="150" t="s">
        <v>286</v>
      </c>
      <c r="C20" s="150" t="s">
        <v>281</v>
      </c>
      <c r="D20" s="111" t="s">
        <v>239</v>
      </c>
      <c r="E20" s="147"/>
      <c r="F20" s="213" t="s">
        <v>240</v>
      </c>
      <c r="G20" s="151">
        <v>46113</v>
      </c>
      <c r="H20" s="151">
        <v>46477</v>
      </c>
      <c r="I20" s="214"/>
      <c r="J20" s="114"/>
      <c r="K20" s="215"/>
      <c r="L20" s="148"/>
      <c r="M20" s="150" t="s">
        <v>282</v>
      </c>
      <c r="N20" s="111" t="s">
        <v>283</v>
      </c>
      <c r="O20" s="111"/>
      <c r="P20" s="152" t="s">
        <v>287</v>
      </c>
    </row>
    <row r="21" spans="1:16">
      <c r="A21" s="96"/>
      <c r="E21" s="97"/>
      <c r="F21" s="96"/>
      <c r="G21" s="96"/>
      <c r="H21" s="96"/>
      <c r="I21" s="96"/>
      <c r="J21" s="96"/>
      <c r="K21" s="96"/>
      <c r="L21" s="96"/>
      <c r="M21" s="96"/>
      <c r="N21" s="96"/>
      <c r="O21" s="96"/>
      <c r="P21" s="96"/>
    </row>
    <row r="22" spans="1:16">
      <c r="A22" s="96"/>
      <c r="E22" s="97"/>
      <c r="F22" s="96"/>
      <c r="G22" s="96"/>
      <c r="H22" s="96"/>
      <c r="I22" s="96"/>
      <c r="J22" s="96"/>
      <c r="K22" s="96"/>
      <c r="L22" s="96"/>
      <c r="M22" s="96"/>
      <c r="N22" s="96"/>
      <c r="O22" s="96"/>
      <c r="P22" s="96"/>
    </row>
    <row r="23" spans="1:16">
      <c r="A23" s="96"/>
      <c r="E23" s="97"/>
      <c r="F23" s="96"/>
      <c r="G23" s="96"/>
      <c r="H23" s="96"/>
      <c r="I23" s="96"/>
      <c r="J23" s="96"/>
      <c r="K23" s="96"/>
      <c r="L23" s="96"/>
      <c r="M23" s="96"/>
      <c r="N23" s="96"/>
      <c r="O23" s="96"/>
      <c r="P23" s="96"/>
    </row>
    <row r="24" spans="1:16">
      <c r="A24" s="96"/>
      <c r="E24" s="97"/>
      <c r="F24" s="96"/>
      <c r="G24" s="96"/>
      <c r="H24" s="96"/>
      <c r="I24" s="96"/>
      <c r="J24" s="96"/>
      <c r="K24" s="96"/>
      <c r="L24" s="96"/>
      <c r="M24" s="96"/>
      <c r="N24" s="96"/>
      <c r="O24" s="96"/>
      <c r="P24" s="96"/>
    </row>
    <row r="25" spans="1:16">
      <c r="A25" s="96"/>
      <c r="E25" s="97"/>
      <c r="F25" s="96"/>
      <c r="G25" s="96"/>
      <c r="H25" s="96"/>
      <c r="I25" s="96"/>
      <c r="J25" s="96"/>
      <c r="K25" s="96"/>
      <c r="L25" s="96"/>
      <c r="M25" s="96"/>
      <c r="N25" s="96"/>
      <c r="O25" s="96"/>
      <c r="P25" s="96"/>
    </row>
    <row r="26" spans="1:16">
      <c r="A26" s="96"/>
      <c r="E26" s="97"/>
      <c r="F26" s="96"/>
      <c r="G26" s="96"/>
      <c r="H26" s="96"/>
      <c r="I26" s="96"/>
      <c r="J26" s="96"/>
      <c r="K26" s="96"/>
      <c r="L26" s="96"/>
      <c r="M26" s="96"/>
      <c r="N26" s="96"/>
      <c r="O26" s="96"/>
      <c r="P26" s="96"/>
    </row>
    <row r="27" spans="1:16">
      <c r="A27" s="96"/>
      <c r="E27" s="97"/>
      <c r="F27" s="96"/>
      <c r="G27" s="96"/>
      <c r="H27" s="96"/>
      <c r="I27" s="96"/>
      <c r="J27" s="96"/>
      <c r="K27" s="96"/>
      <c r="L27" s="96"/>
      <c r="M27" s="96"/>
      <c r="N27" s="96"/>
      <c r="O27" s="96"/>
      <c r="P27" s="96"/>
    </row>
    <row r="28" spans="1:16">
      <c r="A28" s="96"/>
      <c r="E28" s="97"/>
      <c r="F28" s="96"/>
      <c r="G28" s="96"/>
      <c r="H28" s="96"/>
      <c r="I28" s="96"/>
      <c r="J28" s="96"/>
      <c r="K28" s="96"/>
      <c r="L28" s="96"/>
      <c r="M28" s="96"/>
      <c r="N28" s="96"/>
      <c r="O28" s="96"/>
      <c r="P28" s="96"/>
    </row>
    <row r="29" spans="1:16">
      <c r="A29" s="96"/>
      <c r="E29" s="97"/>
      <c r="F29" s="96"/>
      <c r="G29" s="96"/>
      <c r="H29" s="96"/>
      <c r="I29" s="96"/>
      <c r="J29" s="96"/>
      <c r="K29" s="96"/>
      <c r="L29" s="96"/>
      <c r="M29" s="96"/>
      <c r="N29" s="96"/>
      <c r="O29" s="96"/>
      <c r="P29" s="96"/>
    </row>
    <row r="30" spans="1:16">
      <c r="A30" s="96"/>
      <c r="E30" s="97"/>
      <c r="F30" s="96"/>
      <c r="G30" s="96"/>
      <c r="H30" s="96"/>
      <c r="I30" s="96"/>
      <c r="J30" s="96"/>
      <c r="K30" s="96"/>
      <c r="L30" s="96"/>
      <c r="M30" s="96"/>
      <c r="N30" s="96"/>
      <c r="O30" s="96"/>
      <c r="P30" s="96"/>
    </row>
    <row r="31" spans="1:16">
      <c r="F31" s="96"/>
      <c r="G31" s="96"/>
      <c r="H31" s="96"/>
      <c r="I31" s="96"/>
      <c r="J31" s="96"/>
      <c r="K31" s="96"/>
      <c r="L31" s="96"/>
      <c r="M31" s="96"/>
      <c r="N31" s="96"/>
      <c r="O31" s="96"/>
      <c r="P31" s="96"/>
    </row>
    <row r="32" spans="1:16">
      <c r="F32" s="96"/>
      <c r="G32" s="96"/>
      <c r="H32" s="96"/>
      <c r="I32" s="96"/>
      <c r="J32" s="96"/>
      <c r="K32" s="96"/>
      <c r="L32" s="96"/>
      <c r="M32" s="96"/>
      <c r="N32" s="96"/>
      <c r="O32" s="96"/>
      <c r="P32" s="96"/>
    </row>
  </sheetData>
  <mergeCells count="6">
    <mergeCell ref="O2:P2"/>
    <mergeCell ref="I2:K2"/>
    <mergeCell ref="A1:P1"/>
    <mergeCell ref="D2:H2"/>
    <mergeCell ref="L2:N2"/>
    <mergeCell ref="A2:C2"/>
  </mergeCells>
  <dataValidations count="10">
    <dataValidation type="date" operator="greaterThanOrEqual" allowBlank="1" showInputMessage="1" showErrorMessage="1" errorTitle="Invalid Date" error="Actual Start must be in the correct date format." promptTitle="Date" prompt=" " sqref="G6:G13 G17:G20" xr:uid="{751250BB-47DD-4903-92D2-76378C995AA5}">
      <formula1>1</formula1>
    </dataValidation>
    <dataValidation type="date" operator="greaterThanOrEqual" allowBlank="1" showInputMessage="1" showErrorMessage="1" errorTitle="Invalid Date" error="Start Date must be in the correct date format." promptTitle="Date" prompt=" " sqref="G14:G16" xr:uid="{378DB043-BF86-4DA9-9C72-DB86E88A4704}">
      <formula1>1</formula1>
    </dataValidation>
    <dataValidation type="textLength" operator="lessThanOrEqual" showInputMessage="1" showErrorMessage="1" errorTitle="Length Exceeded" error="This value must be less than or equal to 50 characters long." promptTitle="Text (required)" prompt="Maximum Length: 50 characters." sqref="A7:A20" xr:uid="{2E924B73-574D-4736-826E-E10797E09184}">
      <formula1>50</formula1>
    </dataValidation>
    <dataValidation type="textLength" operator="lessThanOrEqual" showInputMessage="1" showErrorMessage="1" errorTitle="Length Exceeded" error="This value must be less than or equal to 255 characters long." promptTitle="Text (required)" prompt="Maximum Length: 255 characters." sqref="B7:B20" xr:uid="{04FDE234-1A70-41D4-BB68-087C7E43F731}">
      <formula1>255</formula1>
    </dataValidation>
    <dataValidation allowBlank="1" showInputMessage="1" showErrorMessage="1" error=" " promptTitle="Lookup" prompt="This Customer record must already exist in Microsoft Dynamics 365 or in this source file." sqref="C7:C20" xr:uid="{6BE0FD77-7FFC-4D1F-822C-79EFD66D4851}"/>
    <dataValidation showInputMessage="1" showErrorMessage="1" error=" " promptTitle="Lookup (required)" prompt="This Project manager record must already exist in Microsoft Dynamics 365 or in this source file." sqref="M6:M20 N10:N11" xr:uid="{68DAD5CC-950C-434B-B9D2-9AFCC9BE2CB0}"/>
    <dataValidation type="date" operator="greaterThanOrEqual" allowBlank="1" showInputMessage="1" showErrorMessage="1" errorTitle="Invalid Date" error="Actual Finish must be in the correct date format." promptTitle="Date" prompt=" " sqref="H6:H20" xr:uid="{A852AC3F-16B7-4183-9305-E2CDB7933AF7}">
      <formula1>1</formula1>
    </dataValidation>
    <dataValidation type="list" allowBlank="1" sqref="F6:F211" xr:uid="{00000000-0002-0000-0100-000000000000}">
      <formula1>"Active,Closed,On Hold,Pipeline"</formula1>
    </dataValidation>
    <dataValidation type="list" allowBlank="1" sqref="E6:E211" xr:uid="{00000000-0002-0000-0100-000001000000}">
      <formula1>"Discovery,Design,Build,UAT,Hypercare,Closed"</formula1>
    </dataValidation>
    <dataValidation type="list" allowBlank="1" sqref="D6:D211" xr:uid="{00000000-0002-0000-0100-000002000000}">
      <formula1>"Renewables &amp; Engineering,Data Intelligence &amp; AI,Cyber Security,Apps &amp; Development,OT"</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20"/>
  <sheetViews>
    <sheetView showGridLines="0" zoomScale="80" zoomScaleNormal="80" workbookViewId="0">
      <pane ySplit="5" topLeftCell="A6" activePane="bottomLeft" state="frozen"/>
      <selection pane="bottomLeft" activeCell="C4" sqref="C1:C1048576"/>
    </sheetView>
  </sheetViews>
  <sheetFormatPr defaultRowHeight="14.45"/>
  <cols>
    <col min="1" max="1" width="14.140625" customWidth="1"/>
    <col min="2" max="2" width="27.140625" customWidth="1"/>
    <col min="3" max="3" width="18" customWidth="1"/>
    <col min="4" max="4" width="14" customWidth="1"/>
    <col min="5" max="5" width="12.5703125" customWidth="1"/>
    <col min="6" max="6" width="12" customWidth="1"/>
    <col min="7" max="7" width="13.28515625" customWidth="1"/>
    <col min="8" max="8" width="14.5703125" customWidth="1"/>
    <col min="9" max="9" width="14.7109375" customWidth="1"/>
    <col min="10" max="10" width="28" customWidth="1"/>
    <col min="11" max="11" width="14" customWidth="1"/>
    <col min="12" max="14" width="16" customWidth="1"/>
    <col min="15" max="15" width="19.28515625" customWidth="1"/>
  </cols>
  <sheetData>
    <row r="1" spans="1:15" ht="20.100000000000001" customHeight="1">
      <c r="A1" s="179" t="s">
        <v>288</v>
      </c>
      <c r="B1" s="208"/>
      <c r="C1" s="208"/>
      <c r="D1" s="208"/>
      <c r="E1" s="208"/>
      <c r="F1" s="208"/>
      <c r="G1" s="208"/>
      <c r="H1" s="208"/>
      <c r="I1" s="208"/>
      <c r="J1" s="208"/>
      <c r="K1" s="208"/>
      <c r="L1" s="208"/>
      <c r="M1" s="208"/>
      <c r="N1" s="208"/>
      <c r="O1" s="206"/>
    </row>
    <row r="2" spans="1:15">
      <c r="A2" s="176" t="s">
        <v>289</v>
      </c>
      <c r="B2" s="209"/>
      <c r="C2" s="209"/>
      <c r="D2" s="209"/>
      <c r="E2" s="202" t="s">
        <v>290</v>
      </c>
      <c r="F2" s="209"/>
      <c r="G2" s="209"/>
      <c r="H2" s="209"/>
      <c r="I2" s="209"/>
      <c r="J2" s="203" t="s">
        <v>291</v>
      </c>
      <c r="K2" s="177" t="s">
        <v>292</v>
      </c>
      <c r="L2" s="209"/>
      <c r="M2" s="209"/>
      <c r="N2" s="201" t="s">
        <v>293</v>
      </c>
      <c r="O2" s="207"/>
    </row>
    <row r="3" spans="1:15" ht="23.1" customHeight="1">
      <c r="A3" s="18" t="s">
        <v>30</v>
      </c>
      <c r="B3" s="1" t="s">
        <v>30</v>
      </c>
      <c r="C3" s="1">
        <v>17.22</v>
      </c>
      <c r="D3" s="1" t="s">
        <v>119</v>
      </c>
      <c r="E3" s="1" t="s">
        <v>119</v>
      </c>
      <c r="F3" s="1" t="s">
        <v>119</v>
      </c>
      <c r="G3" s="1" t="s">
        <v>119</v>
      </c>
      <c r="H3" s="1" t="s">
        <v>119</v>
      </c>
      <c r="I3" s="1" t="s">
        <v>119</v>
      </c>
      <c r="J3" s="1" t="s">
        <v>119</v>
      </c>
      <c r="K3" s="1" t="s">
        <v>119</v>
      </c>
      <c r="L3" s="1" t="s">
        <v>119</v>
      </c>
      <c r="M3" s="1" t="s">
        <v>119</v>
      </c>
      <c r="N3" s="1" t="s">
        <v>30</v>
      </c>
      <c r="O3" s="20" t="s">
        <v>119</v>
      </c>
    </row>
    <row r="4" spans="1:15" ht="43.15" customHeight="1">
      <c r="A4" s="18" t="s">
        <v>233</v>
      </c>
      <c r="B4" s="1" t="s">
        <v>233</v>
      </c>
      <c r="C4" s="1" t="s">
        <v>233</v>
      </c>
      <c r="D4" s="1" t="s">
        <v>120</v>
      </c>
      <c r="E4" s="1" t="s">
        <v>120</v>
      </c>
      <c r="F4" s="1" t="s">
        <v>120</v>
      </c>
      <c r="G4" s="1" t="s">
        <v>120</v>
      </c>
      <c r="H4" s="1" t="s">
        <v>120</v>
      </c>
      <c r="I4" s="1" t="s">
        <v>120</v>
      </c>
      <c r="J4" s="1" t="s">
        <v>120</v>
      </c>
      <c r="K4" s="1" t="s">
        <v>120</v>
      </c>
      <c r="L4" s="1" t="s">
        <v>120</v>
      </c>
      <c r="M4" s="1" t="s">
        <v>120</v>
      </c>
      <c r="N4" s="1" t="s">
        <v>294</v>
      </c>
      <c r="O4" s="20" t="s">
        <v>120</v>
      </c>
    </row>
    <row r="5" spans="1:15" ht="34.15" customHeight="1">
      <c r="A5" s="105" t="s">
        <v>54</v>
      </c>
      <c r="B5" s="79" t="s">
        <v>55</v>
      </c>
      <c r="C5" s="79" t="s">
        <v>56</v>
      </c>
      <c r="D5" s="79" t="s">
        <v>72</v>
      </c>
      <c r="E5" s="79" t="s">
        <v>73</v>
      </c>
      <c r="F5" s="79" t="s">
        <v>74</v>
      </c>
      <c r="G5" s="79" t="s">
        <v>75</v>
      </c>
      <c r="H5" s="79" t="s">
        <v>76</v>
      </c>
      <c r="I5" s="79" t="s">
        <v>77</v>
      </c>
      <c r="J5" s="79" t="s">
        <v>295</v>
      </c>
      <c r="K5" s="79" t="s">
        <v>79</v>
      </c>
      <c r="L5" s="79" t="s">
        <v>80</v>
      </c>
      <c r="M5" s="79" t="s">
        <v>81</v>
      </c>
      <c r="N5" s="79" t="s">
        <v>65</v>
      </c>
      <c r="O5" s="106" t="s">
        <v>82</v>
      </c>
    </row>
    <row r="6" spans="1:15" ht="42" customHeight="1">
      <c r="A6" s="165" t="str">
        <f>'🗂 Project Register'!A6</f>
        <v>GB01_P001074</v>
      </c>
      <c r="B6" s="53" t="str">
        <f>'🗂 Project Register'!B6</f>
        <v>Project - UKPN - Cyber Resilience Roles T&amp;M</v>
      </c>
      <c r="C6" s="64" t="str">
        <f>'🗂 Project Register'!C6</f>
        <v>UK Power Networks (Operations) Ltd</v>
      </c>
      <c r="D6" s="67">
        <v>46150</v>
      </c>
      <c r="E6" s="103" t="s">
        <v>296</v>
      </c>
      <c r="F6" s="103" t="s">
        <v>296</v>
      </c>
      <c r="G6" s="103" t="s">
        <v>296</v>
      </c>
      <c r="H6" s="103" t="s">
        <v>296</v>
      </c>
      <c r="I6" s="103" t="s">
        <v>296</v>
      </c>
      <c r="J6" s="94" t="s">
        <v>297</v>
      </c>
      <c r="K6" s="64" t="s">
        <v>298</v>
      </c>
      <c r="L6" s="67">
        <v>46173</v>
      </c>
      <c r="M6" s="64" t="s">
        <v>299</v>
      </c>
      <c r="N6" s="64" t="str">
        <f>'🗂 Project Register'!M6</f>
        <v>Amit Fadnavis</v>
      </c>
      <c r="O6" s="108">
        <v>46147</v>
      </c>
    </row>
    <row r="7" spans="1:15" ht="42" customHeight="1">
      <c r="A7" s="166" t="str">
        <f>'🗂 Project Register'!A7</f>
        <v>GB01_P001021</v>
      </c>
      <c r="B7" s="52" t="str">
        <f>'🗂 Project Register'!B7</f>
        <v>Project - UKPN - Income Management Mavis Faster Staging</v>
      </c>
      <c r="C7" s="58" t="str">
        <f>'🗂 Project Register'!C7</f>
        <v>UK Power Networks (Operations) Ltd</v>
      </c>
      <c r="D7" s="61">
        <v>46150</v>
      </c>
      <c r="E7" s="103" t="s">
        <v>296</v>
      </c>
      <c r="F7" s="103" t="s">
        <v>296</v>
      </c>
      <c r="G7" s="103" t="s">
        <v>296</v>
      </c>
      <c r="H7" s="103" t="s">
        <v>296</v>
      </c>
      <c r="I7" s="103" t="s">
        <v>296</v>
      </c>
      <c r="J7" s="156" t="s">
        <v>300</v>
      </c>
      <c r="K7" s="58"/>
      <c r="L7" s="61"/>
      <c r="M7" s="58" t="s">
        <v>301</v>
      </c>
      <c r="N7" s="64" t="str">
        <f>'🗂 Project Register'!M7</f>
        <v>Danie Selvaraju</v>
      </c>
      <c r="O7" s="110">
        <v>46140</v>
      </c>
    </row>
    <row r="8" spans="1:15" ht="60.6" customHeight="1">
      <c r="A8" s="165" t="str">
        <f>'🗂 Project Register'!A8</f>
        <v>GB01_P001073</v>
      </c>
      <c r="B8" s="53" t="str">
        <f>'🗂 Project Register'!B8</f>
        <v>Project - UKPN - Nexus IMIB</v>
      </c>
      <c r="C8" s="64" t="str">
        <f>'🗂 Project Register'!C8</f>
        <v>UK Power Networks (Operations) Ltd</v>
      </c>
      <c r="D8" s="67">
        <v>46150</v>
      </c>
      <c r="E8" s="60" t="s">
        <v>302</v>
      </c>
      <c r="F8" s="103" t="s">
        <v>296</v>
      </c>
      <c r="G8" s="103" t="s">
        <v>296</v>
      </c>
      <c r="H8" s="103" t="s">
        <v>296</v>
      </c>
      <c r="I8" s="60" t="s">
        <v>302</v>
      </c>
      <c r="J8" s="156" t="s">
        <v>303</v>
      </c>
      <c r="K8" s="64" t="s">
        <v>304</v>
      </c>
      <c r="L8" s="67"/>
      <c r="M8" s="64" t="s">
        <v>299</v>
      </c>
      <c r="N8" s="64" t="str">
        <f>'🗂 Project Register'!M8</f>
        <v>MohamedMurshid S</v>
      </c>
      <c r="O8" s="108">
        <v>46140</v>
      </c>
    </row>
    <row r="9" spans="1:15" ht="42" customHeight="1">
      <c r="A9" s="165">
        <f>'🗂 Project Register'!A9</f>
        <v>0</v>
      </c>
      <c r="B9" s="52" t="str">
        <f>'🗂 Project Register'!B9</f>
        <v>UKPN - Distance to Fault &amp; CAS Pole Pilot</v>
      </c>
      <c r="C9" s="58" t="str">
        <f>'🗂 Project Register'!C9</f>
        <v>UK Power Networks (Operations) Ltd</v>
      </c>
      <c r="D9" s="61">
        <v>46150</v>
      </c>
      <c r="E9" s="103" t="s">
        <v>296</v>
      </c>
      <c r="F9" s="103" t="s">
        <v>296</v>
      </c>
      <c r="G9" s="103" t="s">
        <v>296</v>
      </c>
      <c r="H9" s="103" t="s">
        <v>296</v>
      </c>
      <c r="I9" s="103" t="s">
        <v>296</v>
      </c>
      <c r="J9" s="51" t="s">
        <v>305</v>
      </c>
      <c r="K9" s="58" t="s">
        <v>306</v>
      </c>
      <c r="L9" s="61">
        <v>46155</v>
      </c>
      <c r="M9" s="58" t="s">
        <v>301</v>
      </c>
      <c r="N9" s="64" t="str">
        <f>'🗂 Project Register'!M9</f>
        <v>Vasupradha</v>
      </c>
      <c r="O9" s="110">
        <v>46147</v>
      </c>
    </row>
    <row r="10" spans="1:15" ht="42" customHeight="1">
      <c r="A10" s="165" t="str">
        <f>'🗂 Project Register'!A10</f>
        <v>GB01_P001005</v>
      </c>
      <c r="B10" s="52" t="str">
        <f>'🗂 Project Register'!B10</f>
        <v>Project - Eirgrid - Eirgrid PSSE to Power Factory</v>
      </c>
      <c r="C10" s="58" t="str">
        <f>'🗂 Project Register'!C10</f>
        <v>EirGrid plc</v>
      </c>
      <c r="D10" s="61">
        <v>46150</v>
      </c>
      <c r="E10" s="104" t="s">
        <v>307</v>
      </c>
      <c r="F10" s="103" t="s">
        <v>296</v>
      </c>
      <c r="G10" s="104" t="s">
        <v>307</v>
      </c>
      <c r="H10" s="103" t="s">
        <v>296</v>
      </c>
      <c r="I10" s="104" t="s">
        <v>307</v>
      </c>
      <c r="J10" s="156" t="s">
        <v>308</v>
      </c>
      <c r="K10" s="64" t="s">
        <v>309</v>
      </c>
      <c r="L10" s="67"/>
      <c r="M10" s="64" t="s">
        <v>299</v>
      </c>
      <c r="N10" s="64" t="str">
        <f>'🗂 Project Register'!M10</f>
        <v>Rodrigo Merino</v>
      </c>
      <c r="O10" s="108">
        <v>46147</v>
      </c>
    </row>
    <row r="11" spans="1:15" ht="42" customHeight="1">
      <c r="A11" s="165" t="str">
        <f>'🗂 Project Register'!A11</f>
        <v>GB01_P001006</v>
      </c>
      <c r="B11" s="52" t="str">
        <f>'🗂 Project Register'!B11</f>
        <v>Project - Eirgrid - Eirgird Product Specialist T&amp;M</v>
      </c>
      <c r="C11" s="58" t="str">
        <f>'🗂 Project Register'!C11</f>
        <v>EirGrid plc</v>
      </c>
      <c r="D11" s="61">
        <v>46150</v>
      </c>
      <c r="E11" s="103" t="s">
        <v>296</v>
      </c>
      <c r="F11" s="103" t="s">
        <v>296</v>
      </c>
      <c r="G11" s="103" t="s">
        <v>296</v>
      </c>
      <c r="H11" s="103" t="s">
        <v>296</v>
      </c>
      <c r="I11" s="103" t="s">
        <v>296</v>
      </c>
      <c r="J11" s="51" t="s">
        <v>310</v>
      </c>
      <c r="K11" s="58"/>
      <c r="L11" s="61"/>
      <c r="M11" s="58"/>
      <c r="N11" s="64" t="str">
        <f>'🗂 Project Register'!M11</f>
        <v>Rodrigo Merino</v>
      </c>
      <c r="O11" s="110">
        <v>46139</v>
      </c>
    </row>
    <row r="12" spans="1:15" ht="57">
      <c r="A12" s="165" t="str">
        <f>'🗂 Project Register'!A12</f>
        <v>GB01_P001010</v>
      </c>
      <c r="B12" s="52" t="str">
        <f>'🗂 Project Register'!B12</f>
        <v>Project - ENWL - SAP Projects</v>
      </c>
      <c r="C12" s="58" t="str">
        <f>'🗂 Project Register'!C12</f>
        <v>Electricity North West Limited</v>
      </c>
      <c r="D12" s="61">
        <v>46150</v>
      </c>
      <c r="E12" s="103" t="s">
        <v>296</v>
      </c>
      <c r="F12" s="103" t="s">
        <v>296</v>
      </c>
      <c r="G12" s="103" t="s">
        <v>296</v>
      </c>
      <c r="H12" s="103" t="s">
        <v>296</v>
      </c>
      <c r="I12" s="103" t="s">
        <v>296</v>
      </c>
      <c r="J12" s="51" t="s">
        <v>311</v>
      </c>
      <c r="K12" s="58" t="s">
        <v>312</v>
      </c>
      <c r="L12" s="61"/>
      <c r="M12" s="58" t="s">
        <v>301</v>
      </c>
      <c r="N12" s="64" t="str">
        <f>'🗂 Project Register'!M12</f>
        <v>TamoghnaMihirDas gupta</v>
      </c>
      <c r="O12" s="110">
        <v>46148</v>
      </c>
    </row>
    <row r="13" spans="1:15" ht="36">
      <c r="A13" s="165">
        <f>'🗂 Project Register'!A13</f>
        <v>0</v>
      </c>
      <c r="B13" s="52" t="str">
        <f>'🗂 Project Register'!B13</f>
        <v>ENWL - Project Manager - IT Resilience SMR - TnM</v>
      </c>
      <c r="C13" s="58" t="str">
        <f>'🗂 Project Register'!C13</f>
        <v>Electricity North West Limited</v>
      </c>
      <c r="D13" s="61">
        <v>46150</v>
      </c>
      <c r="E13" s="103" t="s">
        <v>296</v>
      </c>
      <c r="F13" s="103" t="s">
        <v>296</v>
      </c>
      <c r="G13" s="103" t="s">
        <v>296</v>
      </c>
      <c r="H13" s="103" t="s">
        <v>296</v>
      </c>
      <c r="I13" s="103" t="s">
        <v>296</v>
      </c>
      <c r="J13" s="157" t="s">
        <v>313</v>
      </c>
      <c r="K13" s="58"/>
      <c r="L13" s="61"/>
      <c r="M13" s="58"/>
      <c r="N13" s="64" t="str">
        <f>'🗂 Project Register'!M13</f>
        <v>TamoghnaMihirDas gupta</v>
      </c>
      <c r="O13" s="110">
        <v>46141</v>
      </c>
    </row>
    <row r="14" spans="1:15" ht="45.6">
      <c r="A14" s="165">
        <f>'🗂 Project Register'!A14</f>
        <v>0</v>
      </c>
      <c r="B14" s="52" t="str">
        <f>'🗂 Project Register'!B14</f>
        <v>WWU - Deed Digitalisation</v>
      </c>
      <c r="C14" s="58" t="str">
        <f>'🗂 Project Register'!C14</f>
        <v>Wales &amp; West Utilities</v>
      </c>
      <c r="D14" s="61">
        <v>46150</v>
      </c>
      <c r="E14" s="103" t="s">
        <v>296</v>
      </c>
      <c r="F14" s="103" t="s">
        <v>296</v>
      </c>
      <c r="G14" s="103" t="s">
        <v>296</v>
      </c>
      <c r="H14" s="103" t="s">
        <v>296</v>
      </c>
      <c r="I14" s="103" t="s">
        <v>296</v>
      </c>
      <c r="J14" s="51" t="s">
        <v>314</v>
      </c>
      <c r="K14" s="58" t="s">
        <v>315</v>
      </c>
      <c r="L14" s="61">
        <v>46149</v>
      </c>
      <c r="M14" s="58" t="s">
        <v>301</v>
      </c>
      <c r="N14" s="64" t="str">
        <f>'🗂 Project Register'!M14</f>
        <v>TamoghnaMihirDas gupta</v>
      </c>
      <c r="O14" s="110">
        <v>46148</v>
      </c>
    </row>
    <row r="15" spans="1:15" ht="57">
      <c r="A15" s="165">
        <f>'🗂 Project Register'!A15</f>
        <v>0</v>
      </c>
      <c r="B15" s="52" t="str">
        <f>'🗂 Project Register'!B15</f>
        <v>WWU - Service Suite Upgrade &amp; MFT</v>
      </c>
      <c r="C15" s="58" t="str">
        <f>'🗂 Project Register'!C15</f>
        <v>Wales &amp; West Utilities</v>
      </c>
      <c r="D15" s="61">
        <v>46150</v>
      </c>
      <c r="E15" s="103" t="s">
        <v>296</v>
      </c>
      <c r="F15" s="103" t="s">
        <v>296</v>
      </c>
      <c r="G15" s="103" t="s">
        <v>296</v>
      </c>
      <c r="H15" s="103" t="s">
        <v>296</v>
      </c>
      <c r="I15" s="103" t="s">
        <v>296</v>
      </c>
      <c r="J15" s="51" t="s">
        <v>316</v>
      </c>
      <c r="K15" s="58" t="s">
        <v>317</v>
      </c>
      <c r="L15" s="61"/>
      <c r="M15" s="58" t="s">
        <v>301</v>
      </c>
      <c r="N15" s="64" t="str">
        <f>'🗂 Project Register'!M15</f>
        <v>TamoghnaMihirDas gupta</v>
      </c>
      <c r="O15" s="110">
        <v>46148</v>
      </c>
    </row>
    <row r="16" spans="1:15" ht="57">
      <c r="A16" s="165" t="str">
        <f>'🗂 Project Register'!A16</f>
        <v>GB01_P001075</v>
      </c>
      <c r="B16" s="52" t="str">
        <f>'🗂 Project Register'!B16</f>
        <v>Project - WWU - Open Text</v>
      </c>
      <c r="C16" s="58" t="str">
        <f>'🗂 Project Register'!C16</f>
        <v>Wales &amp; West Utilities</v>
      </c>
      <c r="D16" s="61">
        <v>46150</v>
      </c>
      <c r="E16" s="60" t="s">
        <v>302</v>
      </c>
      <c r="F16" s="60" t="s">
        <v>302</v>
      </c>
      <c r="G16" s="60" t="s">
        <v>302</v>
      </c>
      <c r="H16" s="60" t="s">
        <v>302</v>
      </c>
      <c r="I16" s="60" t="s">
        <v>302</v>
      </c>
      <c r="J16" s="51" t="s">
        <v>318</v>
      </c>
      <c r="K16" s="58" t="s">
        <v>319</v>
      </c>
      <c r="L16" s="61"/>
      <c r="M16" s="58" t="s">
        <v>301</v>
      </c>
      <c r="N16" s="64" t="str">
        <f>'🗂 Project Register'!M16</f>
        <v>TamoghnaMihirDas gupta</v>
      </c>
      <c r="O16" s="110">
        <v>46148</v>
      </c>
    </row>
    <row r="17" spans="1:15" ht="26.45">
      <c r="A17" s="165" t="str">
        <f>'🗂 Project Register'!A17</f>
        <v>GB01_P001028</v>
      </c>
      <c r="B17" s="52" t="str">
        <f>'🗂 Project Register'!B17</f>
        <v>Project - WWU- SAP Simplification Item - S/4</v>
      </c>
      <c r="C17" s="58" t="str">
        <f>'🗂 Project Register'!C17</f>
        <v>Wales &amp; West Utilities</v>
      </c>
      <c r="D17" s="61">
        <v>46150</v>
      </c>
      <c r="E17" s="103" t="s">
        <v>296</v>
      </c>
      <c r="F17" s="103" t="s">
        <v>296</v>
      </c>
      <c r="G17" s="103" t="s">
        <v>296</v>
      </c>
      <c r="H17" s="103" t="s">
        <v>296</v>
      </c>
      <c r="I17" s="103" t="s">
        <v>296</v>
      </c>
      <c r="J17" s="94"/>
      <c r="K17" s="58" t="s">
        <v>320</v>
      </c>
      <c r="L17" s="61"/>
      <c r="M17" s="58"/>
      <c r="N17" s="64" t="str">
        <f>'🗂 Project Register'!M17</f>
        <v>TamoghnaMihirDas gupta</v>
      </c>
      <c r="O17" s="110">
        <v>46141</v>
      </c>
    </row>
    <row r="18" spans="1:15" ht="39.6">
      <c r="A18" s="165" t="str">
        <f>'🗂 Project Register'!A18</f>
        <v>GB01_P001026</v>
      </c>
      <c r="B18" s="52" t="str">
        <f>'🗂 Project Register'!B18</f>
        <v>Project - WWU - S4 Resource and S4 Project Support New - FY26</v>
      </c>
      <c r="C18" s="58" t="str">
        <f>'🗂 Project Register'!C18</f>
        <v>Wales &amp; West Utilities</v>
      </c>
      <c r="D18" s="61">
        <v>46150</v>
      </c>
      <c r="E18" s="103" t="s">
        <v>296</v>
      </c>
      <c r="F18" s="103" t="s">
        <v>296</v>
      </c>
      <c r="G18" s="103" t="s">
        <v>296</v>
      </c>
      <c r="H18" s="103" t="s">
        <v>296</v>
      </c>
      <c r="I18" s="103" t="s">
        <v>296</v>
      </c>
      <c r="J18" s="156" t="s">
        <v>321</v>
      </c>
      <c r="K18" s="153" t="s">
        <v>322</v>
      </c>
      <c r="L18" s="61"/>
      <c r="M18" s="58"/>
      <c r="N18" s="64" t="str">
        <f>'🗂 Project Register'!M18</f>
        <v>TamoghnaMihirDas gupta</v>
      </c>
      <c r="O18" s="110">
        <v>46141</v>
      </c>
    </row>
    <row r="19" spans="1:15" ht="98.45" customHeight="1">
      <c r="A19" s="165" t="str">
        <f>'🗂 Project Register'!A19</f>
        <v>GB01_P001070</v>
      </c>
      <c r="B19" s="52" t="str">
        <f>'🗂 Project Register'!B19</f>
        <v>Project - SGN - Dev Test FPP</v>
      </c>
      <c r="C19" s="58" t="str">
        <f>'🗂 Project Register'!C19</f>
        <v>Scotia Gas Networks Limited</v>
      </c>
      <c r="D19" s="61">
        <v>46150</v>
      </c>
      <c r="E19" s="104" t="s">
        <v>307</v>
      </c>
      <c r="F19" s="103" t="s">
        <v>296</v>
      </c>
      <c r="G19" s="103" t="s">
        <v>296</v>
      </c>
      <c r="H19" s="104" t="s">
        <v>307</v>
      </c>
      <c r="I19" s="104" t="s">
        <v>307</v>
      </c>
      <c r="J19" s="51" t="s">
        <v>323</v>
      </c>
      <c r="K19" s="154" t="s">
        <v>324</v>
      </c>
      <c r="L19" s="61">
        <v>46139</v>
      </c>
      <c r="M19" s="58" t="s">
        <v>136</v>
      </c>
      <c r="N19" s="64" t="str">
        <f>'🗂 Project Register'!M19</f>
        <v>Anoop Prabhu</v>
      </c>
      <c r="O19" s="110">
        <v>46149</v>
      </c>
    </row>
    <row r="20" spans="1:15" ht="27" thickBot="1">
      <c r="A20" s="167" t="str">
        <f>'🗂 Project Register'!A20</f>
        <v>GB01_P001069</v>
      </c>
      <c r="B20" s="111" t="str">
        <f>'🗂 Project Register'!B20</f>
        <v>Project - SGN - Dev Test T&amp;M</v>
      </c>
      <c r="C20" s="114" t="str">
        <f>'🗂 Project Register'!C20</f>
        <v>Scotia Gas Networks Limited</v>
      </c>
      <c r="D20" s="112">
        <v>46150</v>
      </c>
      <c r="E20" s="113" t="s">
        <v>296</v>
      </c>
      <c r="F20" s="113" t="s">
        <v>296</v>
      </c>
      <c r="G20" s="113" t="s">
        <v>296</v>
      </c>
      <c r="H20" s="113" t="s">
        <v>296</v>
      </c>
      <c r="I20" s="113" t="s">
        <v>296</v>
      </c>
      <c r="J20" s="158" t="s">
        <v>325</v>
      </c>
      <c r="K20" s="155"/>
      <c r="L20" s="112"/>
      <c r="M20" s="114"/>
      <c r="N20" s="147" t="str">
        <f>'🗂 Project Register'!M20</f>
        <v>Anoop Prabhu</v>
      </c>
      <c r="O20" s="115">
        <v>46149</v>
      </c>
    </row>
  </sheetData>
  <mergeCells count="6">
    <mergeCell ref="K2:M2"/>
    <mergeCell ref="N2:O2"/>
    <mergeCell ref="E2:I2"/>
    <mergeCell ref="A1:O1"/>
    <mergeCell ref="A2:D2"/>
    <mergeCell ref="J2"/>
  </mergeCells>
  <phoneticPr fontId="41" type="noConversion"/>
  <dataValidations count="2">
    <dataValidation type="list" allowBlank="1" sqref="E6:I193" xr:uid="{00000000-0002-0000-0200-000000000000}">
      <formula1>"Green,Amber,Red"</formula1>
    </dataValidation>
    <dataValidation type="list" allowBlank="1" sqref="M6:M193" xr:uid="{00000000-0002-0000-0200-000001000000}">
      <formula1>"On Track,At Risk,Missed,Complete"</formula1>
    </dataValidation>
  </dataValidations>
  <pageMargins left="0.75" right="0.75" top="1" bottom="1" header="0.5" footer="0.5"/>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showGridLines="0" zoomScale="80" zoomScaleNormal="80" workbookViewId="0">
      <pane ySplit="5" topLeftCell="A10" activePane="bottomLeft" state="frozen"/>
      <selection pane="bottomLeft" activeCell="D3" sqref="D1:D1048576"/>
    </sheetView>
  </sheetViews>
  <sheetFormatPr defaultRowHeight="14.45"/>
  <cols>
    <col min="1" max="1" width="14.140625" customWidth="1"/>
    <col min="2" max="2" width="27.140625" customWidth="1"/>
    <col min="3" max="3" width="18" customWidth="1"/>
    <col min="4" max="4" width="18.28515625" style="50" customWidth="1"/>
    <col min="5" max="6" width="10" customWidth="1"/>
    <col min="7" max="8" width="28" customWidth="1"/>
    <col min="9" max="9" width="29.140625" customWidth="1"/>
    <col min="10" max="10" width="16" style="50" customWidth="1"/>
    <col min="11" max="11" width="14" style="50" customWidth="1"/>
    <col min="12" max="12" width="18" style="50" customWidth="1"/>
  </cols>
  <sheetData>
    <row r="1" spans="1:12" ht="20.100000000000001" customHeight="1">
      <c r="A1" s="179" t="s">
        <v>326</v>
      </c>
      <c r="B1" s="208"/>
      <c r="C1" s="208"/>
      <c r="D1" s="208"/>
      <c r="E1" s="208"/>
      <c r="F1" s="208"/>
      <c r="G1" s="208"/>
      <c r="H1" s="208"/>
      <c r="I1" s="208"/>
      <c r="J1" s="208"/>
      <c r="K1" s="208"/>
      <c r="L1" s="206"/>
    </row>
    <row r="2" spans="1:12">
      <c r="A2" s="176" t="s">
        <v>327</v>
      </c>
      <c r="B2" s="209"/>
      <c r="C2" s="209"/>
      <c r="D2" s="209"/>
      <c r="E2" s="202" t="s">
        <v>328</v>
      </c>
      <c r="F2" s="209"/>
      <c r="G2" s="209"/>
      <c r="H2" s="209"/>
      <c r="I2" s="201" t="s">
        <v>329</v>
      </c>
      <c r="J2" s="209"/>
      <c r="K2" s="209"/>
      <c r="L2" s="207"/>
    </row>
    <row r="3" spans="1:12" ht="20.65" customHeight="1">
      <c r="A3" s="18" t="s">
        <v>30</v>
      </c>
      <c r="B3" s="1" t="s">
        <v>30</v>
      </c>
      <c r="C3" s="1" t="s">
        <v>30</v>
      </c>
      <c r="D3" s="1" t="s">
        <v>119</v>
      </c>
      <c r="E3" s="1" t="s">
        <v>119</v>
      </c>
      <c r="F3" s="1" t="s">
        <v>119</v>
      </c>
      <c r="G3" s="1" t="s">
        <v>119</v>
      </c>
      <c r="H3" s="1" t="s">
        <v>119</v>
      </c>
      <c r="I3" s="1" t="s">
        <v>119</v>
      </c>
      <c r="J3" s="1" t="s">
        <v>119</v>
      </c>
      <c r="K3" s="1" t="s">
        <v>119</v>
      </c>
      <c r="L3" s="20" t="s">
        <v>119</v>
      </c>
    </row>
    <row r="4" spans="1:12" ht="23.65" customHeight="1">
      <c r="A4" s="18" t="s">
        <v>330</v>
      </c>
      <c r="B4" s="1" t="s">
        <v>330</v>
      </c>
      <c r="C4" s="1" t="s">
        <v>330</v>
      </c>
      <c r="D4" s="1" t="s">
        <v>331</v>
      </c>
      <c r="E4" s="1" t="s">
        <v>332</v>
      </c>
      <c r="F4" s="1" t="s">
        <v>332</v>
      </c>
      <c r="G4" s="1" t="s">
        <v>332</v>
      </c>
      <c r="H4" s="1" t="s">
        <v>332</v>
      </c>
      <c r="I4" s="1" t="s">
        <v>332</v>
      </c>
      <c r="J4" s="1" t="s">
        <v>332</v>
      </c>
      <c r="K4" s="1" t="s">
        <v>332</v>
      </c>
      <c r="L4" s="20" t="s">
        <v>332</v>
      </c>
    </row>
    <row r="5" spans="1:12" ht="28.15" customHeight="1">
      <c r="A5" s="105" t="s">
        <v>54</v>
      </c>
      <c r="B5" s="79" t="s">
        <v>55</v>
      </c>
      <c r="C5" s="79" t="s">
        <v>56</v>
      </c>
      <c r="D5" s="79" t="s">
        <v>84</v>
      </c>
      <c r="E5" s="79" t="s">
        <v>85</v>
      </c>
      <c r="F5" s="79" t="s">
        <v>86</v>
      </c>
      <c r="G5" s="79" t="s">
        <v>87</v>
      </c>
      <c r="H5" s="79" t="s">
        <v>88</v>
      </c>
      <c r="I5" s="79" t="s">
        <v>89</v>
      </c>
      <c r="J5" s="79" t="s">
        <v>90</v>
      </c>
      <c r="K5" s="79" t="s">
        <v>1</v>
      </c>
      <c r="L5" s="106" t="s">
        <v>91</v>
      </c>
    </row>
    <row r="6" spans="1:12" ht="52.15" hidden="1" customHeight="1">
      <c r="A6" s="107" t="str">
        <f>'🗂 Project Register'!A6</f>
        <v>GB01_P001074</v>
      </c>
      <c r="B6" s="53" t="str">
        <f>'🗂 Project Register'!B6</f>
        <v>Project - UKPN - Cyber Resilience Roles T&amp;M</v>
      </c>
      <c r="C6" s="53" t="str">
        <f>'🗂 Project Register'!C6</f>
        <v>UK Power Networks (Operations) Ltd</v>
      </c>
      <c r="D6" s="64">
        <f>'🗂 Project Register'!E6</f>
        <v>0</v>
      </c>
      <c r="E6" s="65"/>
      <c r="F6" s="66"/>
      <c r="G6" s="53"/>
      <c r="H6" s="53"/>
      <c r="I6" s="53"/>
      <c r="J6" s="64"/>
      <c r="K6" s="64"/>
      <c r="L6" s="108"/>
    </row>
    <row r="7" spans="1:12" ht="52.15" hidden="1" customHeight="1">
      <c r="A7" s="109" t="str">
        <f>'🗂 Project Register'!A7</f>
        <v>GB01_P001021</v>
      </c>
      <c r="B7" s="52" t="str">
        <f>'🗂 Project Register'!B7</f>
        <v>Project - UKPN - Income Management Mavis Faster Staging</v>
      </c>
      <c r="C7" s="52" t="str">
        <f>'🗂 Project Register'!C7</f>
        <v>UK Power Networks (Operations) Ltd</v>
      </c>
      <c r="D7" s="64">
        <f>'🗂 Project Register'!E7</f>
        <v>0</v>
      </c>
      <c r="E7" s="65"/>
      <c r="F7" s="66"/>
      <c r="G7" s="52"/>
      <c r="H7" s="52"/>
      <c r="I7" s="52"/>
      <c r="J7" s="58"/>
      <c r="K7" s="58"/>
      <c r="L7" s="110"/>
    </row>
    <row r="8" spans="1:12" ht="52.15" hidden="1" customHeight="1">
      <c r="A8" s="107" t="str">
        <f>'🗂 Project Register'!A8</f>
        <v>GB01_P001073</v>
      </c>
      <c r="B8" s="53" t="str">
        <f>'🗂 Project Register'!B8</f>
        <v>Project - UKPN - Nexus IMIB</v>
      </c>
      <c r="C8" s="53" t="str">
        <f>'🗂 Project Register'!C8</f>
        <v>UK Power Networks (Operations) Ltd</v>
      </c>
      <c r="D8" s="64" t="str">
        <f>'🗂 Project Register'!E8</f>
        <v>UAT</v>
      </c>
      <c r="E8" s="68"/>
      <c r="F8" s="60"/>
      <c r="G8" s="53"/>
      <c r="H8" s="53"/>
      <c r="I8" s="53"/>
      <c r="J8" s="64"/>
      <c r="K8" s="64"/>
      <c r="L8" s="108"/>
    </row>
    <row r="9" spans="1:12" ht="52.15" hidden="1" customHeight="1">
      <c r="A9" s="109">
        <f>'🗂 Project Register'!A9</f>
        <v>0</v>
      </c>
      <c r="B9" s="52" t="str">
        <f>'🗂 Project Register'!B9</f>
        <v>UKPN - Distance to Fault &amp; CAS Pole Pilot</v>
      </c>
      <c r="C9" s="52" t="str">
        <f>'🗂 Project Register'!C9</f>
        <v>UK Power Networks (Operations) Ltd</v>
      </c>
      <c r="D9" s="64">
        <f>'🗂 Project Register'!E9</f>
        <v>0</v>
      </c>
      <c r="E9" s="68"/>
      <c r="F9" s="60"/>
      <c r="G9" s="52"/>
      <c r="H9" s="52"/>
      <c r="I9" s="52"/>
      <c r="J9" s="58"/>
      <c r="K9" s="58"/>
      <c r="L9" s="110"/>
    </row>
    <row r="10" spans="1:12" ht="43.15">
      <c r="A10" s="166" t="str">
        <f>'🗂 Project Register'!A10</f>
        <v>GB01_P001005</v>
      </c>
      <c r="B10" s="52" t="str">
        <f>'🗂 Project Register'!B10</f>
        <v>Project - Eirgrid - Eirgrid PSSE to Power Factory</v>
      </c>
      <c r="C10" s="52" t="str">
        <f>'🗂 Project Register'!C10</f>
        <v>EirGrid plc</v>
      </c>
      <c r="D10" s="64">
        <f>'🗂 Project Register'!E10</f>
        <v>0</v>
      </c>
      <c r="E10" s="68" t="s">
        <v>333</v>
      </c>
      <c r="F10" s="66" t="s">
        <v>334</v>
      </c>
      <c r="G10" s="54" t="s">
        <v>335</v>
      </c>
      <c r="H10" s="52"/>
      <c r="I10" s="55" t="s">
        <v>336</v>
      </c>
      <c r="J10" s="56" t="s">
        <v>337</v>
      </c>
      <c r="K10" s="58" t="s">
        <v>151</v>
      </c>
      <c r="L10" s="110">
        <v>46143</v>
      </c>
    </row>
    <row r="11" spans="1:12" ht="26.45" hidden="1">
      <c r="A11" s="166" t="str">
        <f>'🗂 Project Register'!A11</f>
        <v>GB01_P001006</v>
      </c>
      <c r="B11" s="52" t="str">
        <f>'🗂 Project Register'!B11</f>
        <v>Project - Eirgrid - Eirgird Product Specialist T&amp;M</v>
      </c>
      <c r="C11" s="52" t="str">
        <f>'🗂 Project Register'!C11</f>
        <v>EirGrid plc</v>
      </c>
      <c r="D11" s="64">
        <f>'🗂 Project Register'!E11</f>
        <v>0</v>
      </c>
      <c r="E11" s="68"/>
      <c r="F11" s="60"/>
      <c r="G11" s="52"/>
      <c r="H11" s="52"/>
      <c r="I11" s="52"/>
      <c r="J11" s="58"/>
      <c r="K11" s="58"/>
      <c r="L11" s="110"/>
    </row>
    <row r="12" spans="1:12" ht="57.6">
      <c r="A12" s="166" t="str">
        <f>'🗂 Project Register'!A12</f>
        <v>GB01_P001010</v>
      </c>
      <c r="B12" s="52" t="str">
        <f>'🗂 Project Register'!B12</f>
        <v>Project - ENWL - SAP Projects</v>
      </c>
      <c r="C12" s="52" t="str">
        <f>'🗂 Project Register'!C12</f>
        <v>Electricity North West Limited</v>
      </c>
      <c r="D12" s="64">
        <f>'🗂 Project Register'!E12</f>
        <v>0</v>
      </c>
      <c r="E12" s="68" t="s">
        <v>333</v>
      </c>
      <c r="F12" s="60" t="s">
        <v>338</v>
      </c>
      <c r="G12" s="69" t="s">
        <v>339</v>
      </c>
      <c r="H12" s="52"/>
      <c r="I12" s="59" t="s">
        <v>340</v>
      </c>
      <c r="J12" s="58" t="s">
        <v>341</v>
      </c>
      <c r="K12" s="58" t="s">
        <v>151</v>
      </c>
      <c r="L12" s="110">
        <v>46141</v>
      </c>
    </row>
    <row r="13" spans="1:12" ht="26.45" hidden="1">
      <c r="A13" s="166">
        <f>'🗂 Project Register'!A13</f>
        <v>0</v>
      </c>
      <c r="B13" s="52" t="str">
        <f>'🗂 Project Register'!B13</f>
        <v>ENWL - Project Manager - IT Resilience SMR - TnM</v>
      </c>
      <c r="C13" s="52" t="str">
        <f>'🗂 Project Register'!C13</f>
        <v>Electricity North West Limited</v>
      </c>
      <c r="D13" s="64">
        <f>'🗂 Project Register'!E13</f>
        <v>0</v>
      </c>
      <c r="E13" s="68"/>
      <c r="F13" s="60"/>
      <c r="G13" s="52"/>
      <c r="H13" s="52"/>
      <c r="I13" s="52"/>
      <c r="J13" s="58"/>
      <c r="K13" s="58"/>
      <c r="L13" s="110"/>
    </row>
    <row r="14" spans="1:12" ht="43.15">
      <c r="A14" s="166">
        <f>'🗂 Project Register'!A14</f>
        <v>0</v>
      </c>
      <c r="B14" s="52" t="str">
        <f>'🗂 Project Register'!B14</f>
        <v>WWU - Deed Digitalisation</v>
      </c>
      <c r="C14" s="52" t="str">
        <f>'🗂 Project Register'!C14</f>
        <v>Wales &amp; West Utilities</v>
      </c>
      <c r="D14" s="64">
        <f>'🗂 Project Register'!E14</f>
        <v>0</v>
      </c>
      <c r="E14" s="68" t="s">
        <v>333</v>
      </c>
      <c r="F14" s="60" t="s">
        <v>338</v>
      </c>
      <c r="G14" s="55" t="s">
        <v>342</v>
      </c>
      <c r="H14" s="52"/>
      <c r="I14" s="57" t="s">
        <v>343</v>
      </c>
      <c r="J14" s="62" t="s">
        <v>344</v>
      </c>
      <c r="K14" s="58" t="s">
        <v>151</v>
      </c>
      <c r="L14" s="110">
        <v>46141</v>
      </c>
    </row>
    <row r="15" spans="1:12" ht="57.6">
      <c r="A15" s="166">
        <f>'🗂 Project Register'!A15</f>
        <v>0</v>
      </c>
      <c r="B15" s="52" t="str">
        <f>'🗂 Project Register'!B15</f>
        <v>WWU - Service Suite Upgrade &amp; MFT</v>
      </c>
      <c r="C15" s="52" t="str">
        <f>'🗂 Project Register'!C15</f>
        <v>Wales &amp; West Utilities</v>
      </c>
      <c r="D15" s="64" t="str">
        <f>'🗂 Project Register'!E15</f>
        <v>Design</v>
      </c>
      <c r="E15" s="68" t="s">
        <v>333</v>
      </c>
      <c r="F15" s="66" t="s">
        <v>334</v>
      </c>
      <c r="G15" s="55" t="s">
        <v>345</v>
      </c>
      <c r="H15" s="52"/>
      <c r="I15" s="59" t="s">
        <v>346</v>
      </c>
      <c r="J15" s="58" t="s">
        <v>347</v>
      </c>
      <c r="K15" s="58" t="s">
        <v>151</v>
      </c>
      <c r="L15" s="110">
        <v>45982</v>
      </c>
    </row>
    <row r="16" spans="1:12" ht="31.15">
      <c r="A16" s="166" t="str">
        <f>'🗂 Project Register'!A17</f>
        <v>GB01_P001028</v>
      </c>
      <c r="B16" s="52" t="str">
        <f>'🗂 Project Register'!B17</f>
        <v>Project - WWU- SAP Simplification Item - S/4</v>
      </c>
      <c r="C16" s="52" t="str">
        <f>'🗂 Project Register'!C17</f>
        <v>Wales &amp; West Utilities</v>
      </c>
      <c r="D16" s="64">
        <f>'🗂 Project Register'!E17</f>
        <v>0</v>
      </c>
      <c r="E16" s="68" t="s">
        <v>333</v>
      </c>
      <c r="F16" s="60" t="s">
        <v>338</v>
      </c>
      <c r="G16" s="63" t="s">
        <v>348</v>
      </c>
      <c r="H16" s="52"/>
      <c r="I16" s="74" t="s">
        <v>349</v>
      </c>
      <c r="J16" s="58" t="s">
        <v>350</v>
      </c>
      <c r="K16" s="58" t="s">
        <v>351</v>
      </c>
      <c r="L16" s="110">
        <v>46141</v>
      </c>
    </row>
    <row r="17" spans="1:12" ht="62.45">
      <c r="A17" s="166" t="str">
        <f>'🗂 Project Register'!A18</f>
        <v>GB01_P001026</v>
      </c>
      <c r="B17" s="52" t="str">
        <f>'🗂 Project Register'!B18</f>
        <v>Project - WWU - S4 Resource and S4 Project Support New - FY26</v>
      </c>
      <c r="C17" s="52" t="str">
        <f>'🗂 Project Register'!C18</f>
        <v>Wales &amp; West Utilities</v>
      </c>
      <c r="D17" s="64">
        <f>'🗂 Project Register'!E18</f>
        <v>0</v>
      </c>
      <c r="E17" s="68" t="s">
        <v>333</v>
      </c>
      <c r="F17" s="60" t="s">
        <v>338</v>
      </c>
      <c r="G17" s="63" t="s">
        <v>352</v>
      </c>
      <c r="H17" s="52" t="s">
        <v>353</v>
      </c>
      <c r="I17" s="75" t="s">
        <v>354</v>
      </c>
      <c r="J17" s="58" t="s">
        <v>350</v>
      </c>
      <c r="K17" s="58" t="s">
        <v>151</v>
      </c>
      <c r="L17" s="110">
        <v>46141</v>
      </c>
    </row>
    <row r="18" spans="1:12" ht="62.45">
      <c r="A18" s="166" t="s">
        <v>355</v>
      </c>
      <c r="B18" s="52" t="str">
        <f>'🗂 Project Register'!B18</f>
        <v>Project - WWU - S4 Resource and S4 Project Support New - FY26</v>
      </c>
      <c r="C18" s="52" t="str">
        <f>'🗂 Project Register'!C18</f>
        <v>Wales &amp; West Utilities</v>
      </c>
      <c r="D18" s="64">
        <f>'🗂 Project Register'!E18</f>
        <v>0</v>
      </c>
      <c r="E18" s="68" t="s">
        <v>333</v>
      </c>
      <c r="F18" s="60" t="s">
        <v>338</v>
      </c>
      <c r="G18" s="63" t="s">
        <v>356</v>
      </c>
      <c r="H18" s="52" t="s">
        <v>353</v>
      </c>
      <c r="I18" s="75" t="s">
        <v>354</v>
      </c>
      <c r="J18" s="58" t="s">
        <v>350</v>
      </c>
      <c r="K18" s="58" t="s">
        <v>151</v>
      </c>
      <c r="L18" s="110">
        <v>46141</v>
      </c>
    </row>
    <row r="19" spans="1:12" ht="40.15" customHeight="1">
      <c r="A19" s="166" t="str">
        <f>'🗂 Project Register'!A19</f>
        <v>GB01_P001070</v>
      </c>
      <c r="B19" s="52" t="str">
        <f>'🗂 Project Register'!B19</f>
        <v>Project - SGN - Dev Test FPP</v>
      </c>
      <c r="C19" s="52" t="str">
        <f>'🗂 Project Register'!C19</f>
        <v>Scotia Gas Networks Limited</v>
      </c>
      <c r="D19" s="64">
        <f>'🗂 Project Register'!E19</f>
        <v>0</v>
      </c>
      <c r="E19" s="68" t="s">
        <v>333</v>
      </c>
      <c r="F19" s="60" t="s">
        <v>338</v>
      </c>
      <c r="G19" s="59" t="s">
        <v>357</v>
      </c>
      <c r="H19" s="52"/>
      <c r="I19" s="75" t="s">
        <v>358</v>
      </c>
      <c r="J19" s="58" t="s">
        <v>359</v>
      </c>
      <c r="K19" s="58" t="s">
        <v>151</v>
      </c>
      <c r="L19" s="159">
        <v>46149</v>
      </c>
    </row>
    <row r="20" spans="1:12" ht="72.599999999999994" thickBot="1">
      <c r="A20" s="168" t="str">
        <f>'🗂 Project Register'!A20</f>
        <v>GB01_P001069</v>
      </c>
      <c r="B20" s="111" t="str">
        <f>'🗂 Project Register'!B20</f>
        <v>Project - SGN - Dev Test T&amp;M</v>
      </c>
      <c r="C20" s="111" t="str">
        <f>'🗂 Project Register'!C20</f>
        <v>Scotia Gas Networks Limited</v>
      </c>
      <c r="D20" s="147">
        <f>'🗂 Project Register'!E20</f>
        <v>0</v>
      </c>
      <c r="E20" s="160" t="s">
        <v>333</v>
      </c>
      <c r="F20" s="161" t="s">
        <v>338</v>
      </c>
      <c r="G20" s="162" t="s">
        <v>360</v>
      </c>
      <c r="H20" s="111"/>
      <c r="I20" s="163" t="s">
        <v>361</v>
      </c>
      <c r="J20" s="114" t="s">
        <v>362</v>
      </c>
      <c r="K20" s="114" t="s">
        <v>151</v>
      </c>
      <c r="L20" s="164">
        <v>46149</v>
      </c>
    </row>
  </sheetData>
  <mergeCells count="4">
    <mergeCell ref="E2:H2"/>
    <mergeCell ref="A1:L1"/>
    <mergeCell ref="A2:D2"/>
    <mergeCell ref="I2:L2"/>
  </mergeCells>
  <phoneticPr fontId="41" type="noConversion"/>
  <dataValidations count="3">
    <dataValidation type="list" allowBlank="1" sqref="E6:E193" xr:uid="{00000000-0002-0000-0300-000000000000}">
      <formula1>"Risk,Issue"</formula1>
    </dataValidation>
    <dataValidation type="list" allowBlank="1" sqref="F6:F193" xr:uid="{00000000-0002-0000-0300-000001000000}">
      <formula1>"High,Medium,Low"</formula1>
    </dataValidation>
    <dataValidation type="list" allowBlank="1" sqref="K6:K193" xr:uid="{00000000-0002-0000-0300-000002000000}">
      <formula1>"Open,In Progress,Closed,Escalated,Awaiting Client,Recruitment Active,Recovery Plan Active"</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showGridLines="0" zoomScale="80" zoomScaleNormal="80" workbookViewId="0">
      <pane ySplit="5" topLeftCell="A6" activePane="bottomLeft" state="frozen"/>
      <selection pane="bottomLeft" sqref="A1:L1"/>
    </sheetView>
  </sheetViews>
  <sheetFormatPr defaultRowHeight="14.45"/>
  <cols>
    <col min="1" max="1" width="14.140625" customWidth="1"/>
    <col min="2" max="2" width="27.140625" customWidth="1"/>
    <col min="3" max="3" width="18" customWidth="1"/>
    <col min="4" max="11" width="14" customWidth="1"/>
    <col min="12" max="12" width="18" customWidth="1"/>
  </cols>
  <sheetData>
    <row r="1" spans="1:12" ht="20.100000000000001" customHeight="1">
      <c r="A1" s="179" t="s">
        <v>363</v>
      </c>
      <c r="B1" s="208"/>
      <c r="C1" s="208"/>
      <c r="D1" s="208"/>
      <c r="E1" s="208"/>
      <c r="F1" s="208"/>
      <c r="G1" s="208"/>
      <c r="H1" s="208"/>
      <c r="I1" s="208"/>
      <c r="J1" s="208"/>
      <c r="K1" s="208"/>
      <c r="L1" s="206"/>
    </row>
    <row r="2" spans="1:12">
      <c r="A2" s="176" t="s">
        <v>327</v>
      </c>
      <c r="B2" s="209"/>
      <c r="C2" s="209"/>
      <c r="D2" s="209"/>
      <c r="E2" s="178" t="s">
        <v>364</v>
      </c>
      <c r="F2" s="209"/>
      <c r="G2" s="209"/>
      <c r="H2" s="209"/>
      <c r="I2" s="177" t="s">
        <v>365</v>
      </c>
      <c r="J2" s="209"/>
      <c r="K2" s="209"/>
      <c r="L2" s="207"/>
    </row>
    <row r="3" spans="1:12" ht="23.1" customHeight="1">
      <c r="A3" s="18" t="s">
        <v>30</v>
      </c>
      <c r="B3" s="1" t="s">
        <v>30</v>
      </c>
      <c r="C3" s="1" t="s">
        <v>30</v>
      </c>
      <c r="D3" s="1" t="s">
        <v>66</v>
      </c>
      <c r="E3" s="1" t="s">
        <v>66</v>
      </c>
      <c r="F3" s="1" t="s">
        <v>66</v>
      </c>
      <c r="G3" s="1" t="s">
        <v>66</v>
      </c>
      <c r="H3" s="1" t="s">
        <v>66</v>
      </c>
      <c r="I3" s="1" t="s">
        <v>66</v>
      </c>
      <c r="J3" s="1" t="s">
        <v>66</v>
      </c>
      <c r="K3" s="1" t="s">
        <v>66</v>
      </c>
      <c r="L3" s="20" t="s">
        <v>66</v>
      </c>
    </row>
    <row r="4" spans="1:12" ht="46.5" customHeight="1">
      <c r="A4" s="18" t="s">
        <v>330</v>
      </c>
      <c r="B4" s="1" t="s">
        <v>330</v>
      </c>
      <c r="C4" s="1" t="s">
        <v>330</v>
      </c>
      <c r="D4" s="1"/>
      <c r="E4" s="1"/>
      <c r="F4" s="1"/>
      <c r="G4" s="1"/>
      <c r="H4" s="1"/>
      <c r="I4" s="1"/>
      <c r="J4" s="1"/>
      <c r="K4" s="1"/>
      <c r="L4" s="20"/>
    </row>
    <row r="5" spans="1:12" ht="28.15" customHeight="1">
      <c r="A5" s="105" t="s">
        <v>54</v>
      </c>
      <c r="B5" s="79" t="s">
        <v>55</v>
      </c>
      <c r="C5" s="79" t="s">
        <v>56</v>
      </c>
      <c r="D5" s="79" t="s">
        <v>66</v>
      </c>
      <c r="E5" s="79" t="s">
        <v>63</v>
      </c>
      <c r="F5" s="79" t="s">
        <v>93</v>
      </c>
      <c r="G5" s="79" t="s">
        <v>94</v>
      </c>
      <c r="H5" s="79" t="s">
        <v>95</v>
      </c>
      <c r="I5" s="79" t="s">
        <v>96</v>
      </c>
      <c r="J5" s="79" t="s">
        <v>97</v>
      </c>
      <c r="K5" s="79" t="s">
        <v>98</v>
      </c>
      <c r="L5" s="106" t="s">
        <v>99</v>
      </c>
    </row>
    <row r="6" spans="1:12" ht="25.9" customHeight="1">
      <c r="A6" s="165" t="str">
        <f>'🗂 Project Register'!A6</f>
        <v>GB01_P001074</v>
      </c>
      <c r="B6" s="53" t="str">
        <f>'🗂 Project Register'!B6</f>
        <v>Project - UKPN - Cyber Resilience Roles T&amp;M</v>
      </c>
      <c r="C6" s="53" t="str">
        <f>'🗂 Project Register'!C6</f>
        <v>UK Power Networks (Operations) Ltd</v>
      </c>
      <c r="D6" s="64" t="str">
        <f>'🗂 Project Register'!N6</f>
        <v>Sudhakar Nalla</v>
      </c>
      <c r="E6" s="64"/>
      <c r="F6" s="64"/>
      <c r="G6" s="64"/>
      <c r="H6" s="64"/>
      <c r="I6" s="64"/>
      <c r="J6" s="64"/>
      <c r="K6" s="64"/>
      <c r="L6" s="169"/>
    </row>
    <row r="7" spans="1:12" ht="25.9" customHeight="1">
      <c r="A7" s="166" t="str">
        <f>'🗂 Project Register'!A7</f>
        <v>GB01_P001021</v>
      </c>
      <c r="B7" s="52" t="str">
        <f>'🗂 Project Register'!B7</f>
        <v>Project - UKPN - Income Management Mavis Faster Staging</v>
      </c>
      <c r="C7" s="52" t="str">
        <f>'🗂 Project Register'!C7</f>
        <v>UK Power Networks (Operations) Ltd</v>
      </c>
      <c r="D7" s="64" t="str">
        <f>'🗂 Project Register'!N7</f>
        <v>Sudhakar Nalla</v>
      </c>
      <c r="E7" s="58"/>
      <c r="F7" s="58"/>
      <c r="G7" s="58"/>
      <c r="H7" s="58"/>
      <c r="I7" s="58"/>
      <c r="J7" s="58"/>
      <c r="K7" s="58"/>
      <c r="L7" s="169"/>
    </row>
    <row r="8" spans="1:12" ht="25.9" customHeight="1">
      <c r="A8" s="165" t="str">
        <f>'🗂 Project Register'!A8</f>
        <v>GB01_P001073</v>
      </c>
      <c r="B8" s="53" t="str">
        <f>'🗂 Project Register'!B8</f>
        <v>Project - UKPN - Nexus IMIB</v>
      </c>
      <c r="C8" s="53" t="str">
        <f>'🗂 Project Register'!C8</f>
        <v>UK Power Networks (Operations) Ltd</v>
      </c>
      <c r="D8" s="64" t="str">
        <f>'🗂 Project Register'!N8</f>
        <v>Sudhakar Nalla</v>
      </c>
      <c r="E8" s="64"/>
      <c r="F8" s="64"/>
      <c r="G8" s="64"/>
      <c r="H8" s="64"/>
      <c r="I8" s="64"/>
      <c r="J8" s="64"/>
      <c r="K8" s="64"/>
      <c r="L8" s="169"/>
    </row>
    <row r="9" spans="1:12" ht="25.9" customHeight="1">
      <c r="A9" s="166">
        <f>'🗂 Project Register'!A9</f>
        <v>0</v>
      </c>
      <c r="B9" s="52" t="str">
        <f>'🗂 Project Register'!B9</f>
        <v>UKPN - Distance to Fault &amp; CAS Pole Pilot</v>
      </c>
      <c r="C9" s="52" t="str">
        <f>'🗂 Project Register'!C9</f>
        <v>UK Power Networks (Operations) Ltd</v>
      </c>
      <c r="D9" s="64" t="str">
        <f>'🗂 Project Register'!N9</f>
        <v>Sudhakar Nalla</v>
      </c>
      <c r="E9" s="58"/>
      <c r="F9" s="58"/>
      <c r="G9" s="58"/>
      <c r="H9" s="58"/>
      <c r="I9" s="58"/>
      <c r="J9" s="58"/>
      <c r="K9" s="58"/>
      <c r="L9" s="170"/>
    </row>
    <row r="10" spans="1:12" ht="25.9" customHeight="1">
      <c r="A10" s="166" t="str">
        <f>'🗂 Project Register'!A10</f>
        <v>GB01_P001005</v>
      </c>
      <c r="B10" s="52" t="str">
        <f>'🗂 Project Register'!B10</f>
        <v>Project - Eirgrid - Eirgrid PSSE to Power Factory</v>
      </c>
      <c r="C10" s="52" t="str">
        <f>'🗂 Project Register'!C10</f>
        <v>EirGrid plc</v>
      </c>
      <c r="D10" s="64" t="str">
        <f>'🗂 Project Register'!N10</f>
        <v>Rodrigo Merino</v>
      </c>
      <c r="E10" s="64"/>
      <c r="F10" s="64"/>
      <c r="G10" s="64"/>
      <c r="H10" s="64"/>
      <c r="I10" s="64"/>
      <c r="J10" s="64"/>
      <c r="K10" s="64"/>
      <c r="L10" s="170"/>
    </row>
    <row r="11" spans="1:12" ht="25.9" customHeight="1">
      <c r="A11" s="166" t="str">
        <f>'🗂 Project Register'!A11</f>
        <v>GB01_P001006</v>
      </c>
      <c r="B11" s="52" t="str">
        <f>'🗂 Project Register'!B11</f>
        <v>Project - Eirgrid - Eirgird Product Specialist T&amp;M</v>
      </c>
      <c r="C11" s="52" t="str">
        <f>'🗂 Project Register'!C11</f>
        <v>EirGrid plc</v>
      </c>
      <c r="D11" s="64" t="str">
        <f>'🗂 Project Register'!N11</f>
        <v>Rodrigo Merino</v>
      </c>
      <c r="E11" s="58"/>
      <c r="F11" s="58"/>
      <c r="G11" s="58"/>
      <c r="H11" s="58"/>
      <c r="I11" s="58"/>
      <c r="J11" s="58"/>
      <c r="K11" s="58"/>
      <c r="L11" s="170"/>
    </row>
    <row r="12" spans="1:12" ht="25.9" customHeight="1">
      <c r="A12" s="166" t="str">
        <f>'🗂 Project Register'!A12</f>
        <v>GB01_P001010</v>
      </c>
      <c r="B12" s="52" t="str">
        <f>'🗂 Project Register'!B12</f>
        <v>Project - ENWL - SAP Projects</v>
      </c>
      <c r="C12" s="52" t="str">
        <f>'🗂 Project Register'!C12</f>
        <v>Electricity North West Limited</v>
      </c>
      <c r="D12" s="64" t="str">
        <f>'🗂 Project Register'!N12</f>
        <v>David Butcher</v>
      </c>
      <c r="E12" s="58"/>
      <c r="F12" s="58"/>
      <c r="G12" s="58"/>
      <c r="H12" s="58"/>
      <c r="I12" s="58"/>
      <c r="J12" s="58"/>
      <c r="K12" s="58"/>
      <c r="L12" s="170"/>
    </row>
    <row r="13" spans="1:12" ht="25.9" customHeight="1">
      <c r="A13" s="166">
        <f>'🗂 Project Register'!A13</f>
        <v>0</v>
      </c>
      <c r="B13" s="52" t="str">
        <f>'🗂 Project Register'!B13</f>
        <v>ENWL - Project Manager - IT Resilience SMR - TnM</v>
      </c>
      <c r="C13" s="52" t="str">
        <f>'🗂 Project Register'!C13</f>
        <v>Electricity North West Limited</v>
      </c>
      <c r="D13" s="64" t="str">
        <f>'🗂 Project Register'!N13</f>
        <v>David Butcher</v>
      </c>
      <c r="E13" s="58"/>
      <c r="F13" s="58"/>
      <c r="G13" s="58"/>
      <c r="H13" s="58"/>
      <c r="I13" s="58"/>
      <c r="J13" s="58"/>
      <c r="K13" s="58"/>
      <c r="L13" s="170"/>
    </row>
    <row r="14" spans="1:12" ht="25.9" customHeight="1">
      <c r="A14" s="166">
        <f>'🗂 Project Register'!A14</f>
        <v>0</v>
      </c>
      <c r="B14" s="52" t="str">
        <f>'🗂 Project Register'!B14</f>
        <v>WWU - Deed Digitalisation</v>
      </c>
      <c r="C14" s="52" t="str">
        <f>'🗂 Project Register'!C14</f>
        <v>Wales &amp; West Utilities</v>
      </c>
      <c r="D14" s="64" t="str">
        <f>'🗂 Project Register'!N14</f>
        <v>Martin Ridley</v>
      </c>
      <c r="E14" s="58"/>
      <c r="F14" s="58"/>
      <c r="G14" s="58"/>
      <c r="H14" s="58"/>
      <c r="I14" s="58"/>
      <c r="J14" s="58"/>
      <c r="K14" s="58"/>
      <c r="L14" s="170"/>
    </row>
    <row r="15" spans="1:12" ht="25.9" customHeight="1">
      <c r="A15" s="166">
        <f>'🗂 Project Register'!A15</f>
        <v>0</v>
      </c>
      <c r="B15" s="52" t="str">
        <f>'🗂 Project Register'!B15</f>
        <v>WWU - Service Suite Upgrade &amp; MFT</v>
      </c>
      <c r="C15" s="52" t="str">
        <f>'🗂 Project Register'!C15</f>
        <v>Wales &amp; West Utilities</v>
      </c>
      <c r="D15" s="64" t="str">
        <f>'🗂 Project Register'!N15</f>
        <v>Martin Ridley</v>
      </c>
      <c r="E15" s="58"/>
      <c r="F15" s="58"/>
      <c r="G15" s="58"/>
      <c r="H15" s="58"/>
      <c r="I15" s="58"/>
      <c r="J15" s="58"/>
      <c r="K15" s="58"/>
      <c r="L15" s="170"/>
    </row>
    <row r="16" spans="1:12" ht="25.9" customHeight="1">
      <c r="A16" s="166" t="str">
        <f>'🗂 Project Register'!A16</f>
        <v>GB01_P001075</v>
      </c>
      <c r="B16" s="52" t="str">
        <f>'🗂 Project Register'!B16</f>
        <v>Project - WWU - Open Text</v>
      </c>
      <c r="C16" s="52" t="str">
        <f>'🗂 Project Register'!C16</f>
        <v>Wales &amp; West Utilities</v>
      </c>
      <c r="D16" s="64" t="str">
        <f>'🗂 Project Register'!N16</f>
        <v>Martin Ridley</v>
      </c>
      <c r="E16" s="58"/>
      <c r="F16" s="58"/>
      <c r="G16" s="58"/>
      <c r="H16" s="58"/>
      <c r="I16" s="58"/>
      <c r="J16" s="58"/>
      <c r="K16" s="58"/>
      <c r="L16" s="170"/>
    </row>
    <row r="17" spans="1:12" ht="25.9" customHeight="1">
      <c r="A17" s="166" t="str">
        <f>'🗂 Project Register'!A17</f>
        <v>GB01_P001028</v>
      </c>
      <c r="B17" s="52" t="str">
        <f>'🗂 Project Register'!B17</f>
        <v>Project - WWU- SAP Simplification Item - S/4</v>
      </c>
      <c r="C17" s="52" t="str">
        <f>'🗂 Project Register'!C17</f>
        <v>Wales &amp; West Utilities</v>
      </c>
      <c r="D17" s="64" t="str">
        <f>'🗂 Project Register'!N17</f>
        <v>Martin Ridley</v>
      </c>
      <c r="E17" s="58"/>
      <c r="F17" s="58"/>
      <c r="G17" s="58"/>
      <c r="H17" s="58"/>
      <c r="I17" s="58"/>
      <c r="J17" s="58"/>
      <c r="K17" s="58"/>
      <c r="L17" s="170"/>
    </row>
    <row r="18" spans="1:12" ht="25.9" customHeight="1">
      <c r="A18" s="166" t="str">
        <f>'🗂 Project Register'!A18</f>
        <v>GB01_P001026</v>
      </c>
      <c r="B18" s="52" t="str">
        <f>'🗂 Project Register'!B18</f>
        <v>Project - WWU - S4 Resource and S4 Project Support New - FY26</v>
      </c>
      <c r="C18" s="52" t="str">
        <f>'🗂 Project Register'!C18</f>
        <v>Wales &amp; West Utilities</v>
      </c>
      <c r="D18" s="64" t="str">
        <f>'🗂 Project Register'!N18</f>
        <v>Martin Ridley</v>
      </c>
      <c r="E18" s="58"/>
      <c r="F18" s="58"/>
      <c r="G18" s="58"/>
      <c r="H18" s="58"/>
      <c r="I18" s="58"/>
      <c r="J18" s="58"/>
      <c r="K18" s="58"/>
      <c r="L18" s="170"/>
    </row>
    <row r="19" spans="1:12" ht="25.9" customHeight="1">
      <c r="A19" s="166" t="str">
        <f>'🗂 Project Register'!A19</f>
        <v>GB01_P001070</v>
      </c>
      <c r="B19" s="52" t="str">
        <f>'🗂 Project Register'!B19</f>
        <v>Project - SGN - Dev Test FPP</v>
      </c>
      <c r="C19" s="52" t="str">
        <f>'🗂 Project Register'!C19</f>
        <v>Scotia Gas Networks Limited</v>
      </c>
      <c r="D19" s="64" t="str">
        <f>'🗂 Project Register'!N19</f>
        <v>Alex Pitcher</v>
      </c>
      <c r="E19" s="58"/>
      <c r="F19" s="58"/>
      <c r="G19" s="58"/>
      <c r="H19" s="58"/>
      <c r="I19" s="58"/>
      <c r="J19" s="58"/>
      <c r="K19" s="58"/>
      <c r="L19" s="170"/>
    </row>
    <row r="20" spans="1:12" ht="25.9" customHeight="1" thickBot="1">
      <c r="A20" s="168" t="str">
        <f>'🗂 Project Register'!A20</f>
        <v>GB01_P001069</v>
      </c>
      <c r="B20" s="111" t="str">
        <f>'🗂 Project Register'!B20</f>
        <v>Project - SGN - Dev Test T&amp;M</v>
      </c>
      <c r="C20" s="111" t="str">
        <f>'🗂 Project Register'!C20</f>
        <v>Scotia Gas Networks Limited</v>
      </c>
      <c r="D20" s="147" t="str">
        <f>'🗂 Project Register'!N20</f>
        <v>Alex Pitcher</v>
      </c>
      <c r="E20" s="114"/>
      <c r="F20" s="114"/>
      <c r="G20" s="114"/>
      <c r="H20" s="114"/>
      <c r="I20" s="114"/>
      <c r="J20" s="114"/>
      <c r="K20" s="114"/>
      <c r="L20" s="171"/>
    </row>
  </sheetData>
  <mergeCells count="4">
    <mergeCell ref="E2:H2"/>
    <mergeCell ref="A1:L1"/>
    <mergeCell ref="A2:D2"/>
    <mergeCell ref="I2:L2"/>
  </mergeCells>
  <dataValidations count="2">
    <dataValidation type="list" allowBlank="1" sqref="J6:J194" xr:uid="{00000000-0002-0000-0500-000000000000}">
      <formula1>"Prospect,Qualified,Proposal,Negotiation,Won,Lost"</formula1>
    </dataValidation>
    <dataValidation type="list" allowBlank="1" sqref="L6:L194" xr:uid="{00000000-0002-0000-0500-000001000000}">
      <formula1>"Repeat,New"</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8"/>
  <sheetViews>
    <sheetView showGridLines="0" tabSelected="1" zoomScale="80" zoomScaleNormal="80" workbookViewId="0">
      <pane ySplit="5" topLeftCell="A6" activePane="bottomLeft" state="frozen"/>
      <selection pane="bottomLeft"/>
    </sheetView>
  </sheetViews>
  <sheetFormatPr defaultRowHeight="14.45"/>
  <cols>
    <col min="1" max="1" width="7.7109375" customWidth="1"/>
    <col min="2" max="2" width="24" customWidth="1"/>
    <col min="3" max="3" width="18" customWidth="1"/>
    <col min="4" max="4" width="14" customWidth="1"/>
    <col min="5" max="8" width="12" customWidth="1"/>
    <col min="9" max="10" width="14" customWidth="1"/>
    <col min="11" max="11" width="16" customWidth="1"/>
    <col min="12" max="12" width="14" customWidth="1"/>
  </cols>
  <sheetData>
    <row r="1" spans="1:12" ht="20.100000000000001" customHeight="1">
      <c r="A1" s="179" t="s">
        <v>366</v>
      </c>
      <c r="B1" s="208"/>
      <c r="C1" s="208"/>
      <c r="D1" s="208"/>
      <c r="E1" s="208"/>
      <c r="F1" s="208"/>
      <c r="G1" s="208"/>
      <c r="H1" s="208"/>
      <c r="I1" s="208"/>
      <c r="J1" s="208"/>
      <c r="K1" s="208"/>
      <c r="L1" s="206"/>
    </row>
    <row r="2" spans="1:12">
      <c r="A2" s="176" t="s">
        <v>367</v>
      </c>
      <c r="B2" s="209"/>
      <c r="C2" s="209"/>
      <c r="D2" s="209"/>
      <c r="E2" s="209"/>
      <c r="F2" s="177" t="s">
        <v>368</v>
      </c>
      <c r="G2" s="209"/>
      <c r="H2" s="209"/>
      <c r="I2" s="209"/>
      <c r="J2" s="178" t="s">
        <v>369</v>
      </c>
      <c r="K2" s="209"/>
      <c r="L2" s="207"/>
    </row>
    <row r="3" spans="1:12" ht="23.1" customHeight="1">
      <c r="A3" s="18" t="s">
        <v>30</v>
      </c>
      <c r="B3" s="1" t="s">
        <v>370</v>
      </c>
      <c r="C3" s="1" t="s">
        <v>370</v>
      </c>
      <c r="D3" s="1" t="s">
        <v>370</v>
      </c>
      <c r="E3" s="1" t="s">
        <v>370</v>
      </c>
      <c r="F3" s="1" t="s">
        <v>370</v>
      </c>
      <c r="G3" s="1" t="s">
        <v>370</v>
      </c>
      <c r="H3" s="1" t="s">
        <v>370</v>
      </c>
      <c r="I3" s="1" t="s">
        <v>370</v>
      </c>
      <c r="J3" s="1" t="s">
        <v>370</v>
      </c>
      <c r="K3" s="1" t="s">
        <v>370</v>
      </c>
      <c r="L3" s="20" t="s">
        <v>370</v>
      </c>
    </row>
    <row r="4" spans="1:12" ht="46.5" customHeight="1">
      <c r="A4" s="18" t="s">
        <v>330</v>
      </c>
      <c r="B4" s="1" t="s">
        <v>371</v>
      </c>
      <c r="C4" s="1" t="s">
        <v>371</v>
      </c>
      <c r="D4" s="1" t="s">
        <v>371</v>
      </c>
      <c r="E4" s="1" t="s">
        <v>371</v>
      </c>
      <c r="F4" s="1" t="s">
        <v>372</v>
      </c>
      <c r="G4" s="1" t="s">
        <v>372</v>
      </c>
      <c r="H4" s="1" t="s">
        <v>372</v>
      </c>
      <c r="I4" s="1" t="s">
        <v>373</v>
      </c>
      <c r="J4" s="1" t="s">
        <v>372</v>
      </c>
      <c r="K4" s="1" t="s">
        <v>373</v>
      </c>
      <c r="L4" s="20" t="s">
        <v>373</v>
      </c>
    </row>
    <row r="5" spans="1:12" ht="34.15" customHeight="1">
      <c r="A5" s="105" t="s">
        <v>54</v>
      </c>
      <c r="B5" s="79" t="s">
        <v>101</v>
      </c>
      <c r="C5" s="79" t="s">
        <v>102</v>
      </c>
      <c r="D5" s="79" t="s">
        <v>103</v>
      </c>
      <c r="E5" s="79" t="s">
        <v>104</v>
      </c>
      <c r="F5" s="79" t="s">
        <v>105</v>
      </c>
      <c r="G5" s="79" t="s">
        <v>106</v>
      </c>
      <c r="H5" s="79" t="s">
        <v>107</v>
      </c>
      <c r="I5" s="79" t="s">
        <v>108</v>
      </c>
      <c r="J5" s="79" t="s">
        <v>109</v>
      </c>
      <c r="K5" s="79" t="s">
        <v>110</v>
      </c>
      <c r="L5" s="106" t="s">
        <v>68</v>
      </c>
    </row>
    <row r="6" spans="1:12" ht="22.15" customHeight="1">
      <c r="A6" s="165" t="s">
        <v>374</v>
      </c>
      <c r="B6" s="53" t="s">
        <v>245</v>
      </c>
      <c r="C6" s="53" t="s">
        <v>375</v>
      </c>
      <c r="D6" s="64" t="s">
        <v>376</v>
      </c>
      <c r="E6" s="64">
        <v>37.5</v>
      </c>
      <c r="F6" s="64">
        <v>0</v>
      </c>
      <c r="G6" s="64">
        <v>35</v>
      </c>
      <c r="H6" s="64">
        <v>2.5</v>
      </c>
      <c r="I6" s="172">
        <f t="shared" ref="I6:I15" si="0">G6/(E6-F6)</f>
        <v>0.93333333333333335</v>
      </c>
      <c r="J6" s="64" t="s">
        <v>377</v>
      </c>
      <c r="K6" s="98" t="s">
        <v>378</v>
      </c>
      <c r="L6" s="144"/>
    </row>
    <row r="7" spans="1:12" ht="22.15" customHeight="1">
      <c r="A7" s="166" t="s">
        <v>379</v>
      </c>
      <c r="B7" s="52" t="s">
        <v>380</v>
      </c>
      <c r="C7" s="52" t="s">
        <v>381</v>
      </c>
      <c r="D7" s="58" t="s">
        <v>376</v>
      </c>
      <c r="E7" s="58">
        <v>37.5</v>
      </c>
      <c r="F7" s="58">
        <v>0</v>
      </c>
      <c r="G7" s="58">
        <v>30</v>
      </c>
      <c r="H7" s="58">
        <v>7.5</v>
      </c>
      <c r="I7" s="172">
        <f t="shared" si="0"/>
        <v>0.8</v>
      </c>
      <c r="J7" s="58" t="s">
        <v>382</v>
      </c>
      <c r="K7" s="98" t="s">
        <v>378</v>
      </c>
      <c r="L7" s="146"/>
    </row>
    <row r="8" spans="1:12" ht="22.15" customHeight="1">
      <c r="A8" s="165" t="s">
        <v>383</v>
      </c>
      <c r="B8" s="53" t="s">
        <v>384</v>
      </c>
      <c r="C8" s="53" t="s">
        <v>381</v>
      </c>
      <c r="D8" s="64" t="s">
        <v>376</v>
      </c>
      <c r="E8" s="64">
        <v>37.5</v>
      </c>
      <c r="F8" s="64">
        <v>0</v>
      </c>
      <c r="G8" s="64">
        <v>37.5</v>
      </c>
      <c r="H8" s="64">
        <v>0</v>
      </c>
      <c r="I8" s="172">
        <f t="shared" si="0"/>
        <v>1</v>
      </c>
      <c r="J8" s="64" t="s">
        <v>385</v>
      </c>
      <c r="K8" s="98" t="s">
        <v>378</v>
      </c>
      <c r="L8" s="144"/>
    </row>
    <row r="9" spans="1:12" ht="22.15" customHeight="1">
      <c r="A9" s="166" t="s">
        <v>386</v>
      </c>
      <c r="B9" s="52" t="s">
        <v>387</v>
      </c>
      <c r="C9" s="52" t="s">
        <v>239</v>
      </c>
      <c r="D9" s="58" t="s">
        <v>376</v>
      </c>
      <c r="E9" s="58">
        <v>37.5</v>
      </c>
      <c r="F9" s="58">
        <v>7.5</v>
      </c>
      <c r="G9" s="58">
        <v>25</v>
      </c>
      <c r="H9" s="58">
        <v>5</v>
      </c>
      <c r="I9" s="172">
        <f t="shared" si="0"/>
        <v>0.83333333333333337</v>
      </c>
      <c r="J9" s="58" t="s">
        <v>388</v>
      </c>
      <c r="K9" s="98" t="s">
        <v>378</v>
      </c>
      <c r="L9" s="146" t="s">
        <v>389</v>
      </c>
    </row>
    <row r="10" spans="1:12" ht="22.15" customHeight="1">
      <c r="A10" s="165" t="s">
        <v>390</v>
      </c>
      <c r="B10" s="53" t="s">
        <v>391</v>
      </c>
      <c r="C10" s="53" t="s">
        <v>392</v>
      </c>
      <c r="D10" s="64" t="s">
        <v>376</v>
      </c>
      <c r="E10" s="64">
        <v>37.5</v>
      </c>
      <c r="F10" s="64">
        <v>0</v>
      </c>
      <c r="G10" s="64">
        <v>37.5</v>
      </c>
      <c r="H10" s="64">
        <v>0</v>
      </c>
      <c r="I10" s="172">
        <f t="shared" si="0"/>
        <v>1</v>
      </c>
      <c r="J10" s="64" t="s">
        <v>393</v>
      </c>
      <c r="K10" s="98" t="s">
        <v>378</v>
      </c>
      <c r="L10" s="144"/>
    </row>
    <row r="11" spans="1:12" ht="22.15" customHeight="1">
      <c r="A11" s="166" t="s">
        <v>394</v>
      </c>
      <c r="B11" s="52" t="s">
        <v>395</v>
      </c>
      <c r="C11" s="52" t="s">
        <v>396</v>
      </c>
      <c r="D11" s="58" t="s">
        <v>376</v>
      </c>
      <c r="E11" s="58">
        <v>37.5</v>
      </c>
      <c r="F11" s="58">
        <v>0</v>
      </c>
      <c r="G11" s="58">
        <v>30</v>
      </c>
      <c r="H11" s="58">
        <v>7.5</v>
      </c>
      <c r="I11" s="172">
        <f t="shared" si="0"/>
        <v>0.8</v>
      </c>
      <c r="J11" s="58" t="s">
        <v>397</v>
      </c>
      <c r="K11" s="98" t="s">
        <v>378</v>
      </c>
      <c r="L11" s="146"/>
    </row>
    <row r="12" spans="1:12" ht="22.15" customHeight="1">
      <c r="A12" s="165" t="s">
        <v>398</v>
      </c>
      <c r="B12" s="53" t="s">
        <v>399</v>
      </c>
      <c r="C12" s="53" t="s">
        <v>381</v>
      </c>
      <c r="D12" s="64" t="s">
        <v>400</v>
      </c>
      <c r="E12" s="64">
        <v>40</v>
      </c>
      <c r="F12" s="64">
        <v>0</v>
      </c>
      <c r="G12" s="64">
        <v>36</v>
      </c>
      <c r="H12" s="64">
        <v>4</v>
      </c>
      <c r="I12" s="172">
        <f t="shared" si="0"/>
        <v>0.9</v>
      </c>
      <c r="J12" s="64" t="s">
        <v>401</v>
      </c>
      <c r="K12" s="98" t="s">
        <v>378</v>
      </c>
      <c r="L12" s="144"/>
    </row>
    <row r="13" spans="1:12" ht="22.15" customHeight="1">
      <c r="A13" s="166" t="s">
        <v>402</v>
      </c>
      <c r="B13" s="52" t="s">
        <v>403</v>
      </c>
      <c r="C13" s="52" t="s">
        <v>375</v>
      </c>
      <c r="D13" s="58" t="s">
        <v>400</v>
      </c>
      <c r="E13" s="58">
        <v>40</v>
      </c>
      <c r="F13" s="58">
        <v>0</v>
      </c>
      <c r="G13" s="58">
        <v>40</v>
      </c>
      <c r="H13" s="58">
        <v>0</v>
      </c>
      <c r="I13" s="172">
        <f t="shared" si="0"/>
        <v>1</v>
      </c>
      <c r="J13" s="58" t="s">
        <v>377</v>
      </c>
      <c r="K13" s="98" t="s">
        <v>378</v>
      </c>
      <c r="L13" s="146"/>
    </row>
    <row r="14" spans="1:12" ht="22.15" customHeight="1">
      <c r="A14" s="165" t="s">
        <v>404</v>
      </c>
      <c r="B14" s="53" t="s">
        <v>405</v>
      </c>
      <c r="C14" s="53" t="s">
        <v>239</v>
      </c>
      <c r="D14" s="64" t="s">
        <v>376</v>
      </c>
      <c r="E14" s="64">
        <v>37.5</v>
      </c>
      <c r="F14" s="64">
        <v>0</v>
      </c>
      <c r="G14" s="64">
        <v>0</v>
      </c>
      <c r="H14" s="64">
        <v>37.5</v>
      </c>
      <c r="I14" s="172">
        <f t="shared" si="0"/>
        <v>0</v>
      </c>
      <c r="J14" s="64" t="s">
        <v>406</v>
      </c>
      <c r="K14" s="173" t="s">
        <v>407</v>
      </c>
      <c r="L14" s="144" t="s">
        <v>408</v>
      </c>
    </row>
    <row r="15" spans="1:12" ht="22.15" customHeight="1" thickBot="1">
      <c r="A15" s="168" t="s">
        <v>409</v>
      </c>
      <c r="B15" s="111" t="s">
        <v>410</v>
      </c>
      <c r="C15" s="111" t="s">
        <v>392</v>
      </c>
      <c r="D15" s="114" t="s">
        <v>376</v>
      </c>
      <c r="E15" s="114">
        <v>37.5</v>
      </c>
      <c r="F15" s="114">
        <v>0</v>
      </c>
      <c r="G15" s="114">
        <v>20</v>
      </c>
      <c r="H15" s="114">
        <v>17.5</v>
      </c>
      <c r="I15" s="174">
        <f t="shared" si="0"/>
        <v>0.53333333333333333</v>
      </c>
      <c r="J15" s="114" t="s">
        <v>393</v>
      </c>
      <c r="K15" s="175" t="s">
        <v>411</v>
      </c>
      <c r="L15" s="152" t="s">
        <v>412</v>
      </c>
    </row>
    <row r="16" spans="1:12">
      <c r="A16" s="47"/>
      <c r="B16" s="47"/>
      <c r="C16" s="47"/>
      <c r="D16" s="47"/>
      <c r="E16" s="47"/>
      <c r="F16" s="47"/>
      <c r="G16" s="47"/>
      <c r="H16" s="47"/>
      <c r="I16" s="47"/>
      <c r="J16" s="47"/>
      <c r="K16" s="47"/>
      <c r="L16" s="47"/>
    </row>
    <row r="17" spans="1:12">
      <c r="A17" s="48" t="s">
        <v>413</v>
      </c>
      <c r="B17" s="47"/>
      <c r="C17" s="47"/>
      <c r="D17" s="47"/>
      <c r="E17" s="47"/>
      <c r="F17" s="47"/>
      <c r="G17" s="47"/>
      <c r="H17" s="47"/>
      <c r="I17" s="47"/>
      <c r="J17" s="47"/>
      <c r="K17" s="47"/>
      <c r="L17" s="47"/>
    </row>
    <row r="18" spans="1:12">
      <c r="A18" s="48" t="s">
        <v>414</v>
      </c>
      <c r="B18" s="47"/>
      <c r="C18" s="47"/>
      <c r="D18" s="47"/>
      <c r="E18" s="47"/>
      <c r="F18" s="47"/>
      <c r="G18" s="47"/>
      <c r="H18" s="47"/>
      <c r="I18" s="47"/>
      <c r="J18" s="47"/>
      <c r="K18" s="47"/>
      <c r="L18" s="47"/>
    </row>
  </sheetData>
  <mergeCells count="4">
    <mergeCell ref="A2:E2"/>
    <mergeCell ref="F2:I2"/>
    <mergeCell ref="J2:L2"/>
    <mergeCell ref="A1:L1"/>
  </mergeCells>
  <dataValidations count="2">
    <dataValidation type="list" allowBlank="1" sqref="D6:D201" xr:uid="{00000000-0002-0000-0600-000000000000}">
      <formula1>"UK,India"</formula1>
    </dataValidation>
    <dataValidation type="list" allowBlank="1" sqref="K6:K201" xr:uid="{00000000-0002-0000-0600-000001000000}">
      <formula1>"Assigned,Part-assigned,Bench,Unassigned,Leave"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
  <sheetViews>
    <sheetView showGridLines="0" workbookViewId="0">
      <pane ySplit="5" topLeftCell="A13" activePane="bottomLeft" state="frozen"/>
      <selection pane="bottomLeft" activeCell="E20" sqref="E20"/>
    </sheetView>
  </sheetViews>
  <sheetFormatPr defaultRowHeight="14.45"/>
  <cols>
    <col min="1" max="1" width="20.7109375" customWidth="1"/>
    <col min="2" max="2" width="27.7109375" customWidth="1"/>
    <col min="3" max="3" width="18" customWidth="1"/>
    <col min="4" max="4" width="14" customWidth="1"/>
    <col min="5" max="5" width="10" customWidth="1"/>
    <col min="6" max="6" width="40" customWidth="1"/>
    <col min="7" max="8" width="14" customWidth="1"/>
  </cols>
  <sheetData>
    <row r="1" spans="1:8" ht="20.100000000000001" customHeight="1">
      <c r="A1" s="205" t="s">
        <v>415</v>
      </c>
      <c r="B1" s="210"/>
      <c r="C1" s="210"/>
      <c r="D1" s="210"/>
      <c r="E1" s="210"/>
      <c r="F1" s="210"/>
      <c r="G1" s="210"/>
      <c r="H1" s="210"/>
    </row>
    <row r="2" spans="1:8">
      <c r="A2" s="204" t="s">
        <v>416</v>
      </c>
      <c r="B2" s="210"/>
      <c r="C2" s="210"/>
      <c r="D2" s="210"/>
      <c r="E2" s="210"/>
      <c r="F2" s="210"/>
      <c r="G2" s="210"/>
      <c r="H2" s="210"/>
    </row>
    <row r="3" spans="1:8" ht="23.1" customHeight="1">
      <c r="A3" s="1" t="s">
        <v>30</v>
      </c>
      <c r="B3" s="1" t="s">
        <v>30</v>
      </c>
      <c r="C3" s="1" t="s">
        <v>30</v>
      </c>
      <c r="D3" s="1" t="s">
        <v>232</v>
      </c>
      <c r="E3" s="1" t="s">
        <v>232</v>
      </c>
      <c r="F3" s="1" t="s">
        <v>232</v>
      </c>
      <c r="G3" s="1" t="s">
        <v>232</v>
      </c>
      <c r="H3" s="1" t="s">
        <v>232</v>
      </c>
    </row>
    <row r="4" spans="1:8" ht="46.5" customHeight="1" thickBot="1">
      <c r="A4" s="1" t="s">
        <v>330</v>
      </c>
      <c r="B4" s="1" t="s">
        <v>330</v>
      </c>
      <c r="C4" s="1" t="s">
        <v>330</v>
      </c>
      <c r="D4" s="1" t="s">
        <v>417</v>
      </c>
      <c r="E4" s="1" t="s">
        <v>417</v>
      </c>
      <c r="F4" s="1" t="s">
        <v>417</v>
      </c>
      <c r="G4" s="1" t="s">
        <v>417</v>
      </c>
      <c r="H4" s="1" t="s">
        <v>417</v>
      </c>
    </row>
    <row r="5" spans="1:8" ht="28.15" customHeight="1" thickBot="1">
      <c r="A5" s="5" t="s">
        <v>54</v>
      </c>
      <c r="B5" s="5" t="s">
        <v>55</v>
      </c>
      <c r="C5" s="5" t="s">
        <v>56</v>
      </c>
      <c r="D5" s="5" t="s">
        <v>112</v>
      </c>
      <c r="E5" s="5" t="s">
        <v>113</v>
      </c>
      <c r="F5" s="5" t="s">
        <v>114</v>
      </c>
      <c r="G5" s="5" t="s">
        <v>115</v>
      </c>
      <c r="H5" s="5" t="s">
        <v>116</v>
      </c>
    </row>
    <row r="6" spans="1:8" ht="42" customHeight="1">
      <c r="A6" s="3" t="str">
        <f>'🗂 Project Register'!A6</f>
        <v>GB01_P001074</v>
      </c>
      <c r="B6" s="4" t="str">
        <f>'🗂 Project Register'!B6</f>
        <v>Project - UKPN - Cyber Resilience Roles T&amp;M</v>
      </c>
      <c r="C6" s="4" t="str">
        <f>'🗂 Project Register'!C6</f>
        <v>UK Power Networks (Operations) Ltd</v>
      </c>
      <c r="D6" s="72">
        <v>46147</v>
      </c>
      <c r="E6" s="6">
        <v>4</v>
      </c>
      <c r="F6" s="4"/>
      <c r="G6" s="4"/>
      <c r="H6" s="72"/>
    </row>
    <row r="7" spans="1:8" ht="42" customHeight="1">
      <c r="A7" s="3" t="str">
        <f>'🗂 Project Register'!A7</f>
        <v>GB01_P001021</v>
      </c>
      <c r="B7" s="4" t="str">
        <f>'🗂 Project Register'!B7</f>
        <v>Project - UKPN - Income Management Mavis Faster Staging</v>
      </c>
      <c r="C7" s="4" t="str">
        <f>'🗂 Project Register'!C7</f>
        <v>UK Power Networks (Operations) Ltd</v>
      </c>
      <c r="D7" s="73">
        <v>46140</v>
      </c>
      <c r="E7" s="6" t="s">
        <v>418</v>
      </c>
      <c r="F7" s="2"/>
      <c r="G7" s="2"/>
      <c r="H7" s="73"/>
    </row>
    <row r="8" spans="1:8" ht="42" customHeight="1">
      <c r="A8" s="3" t="str">
        <f>'🗂 Project Register'!A8</f>
        <v>GB01_P001073</v>
      </c>
      <c r="B8" s="4" t="str">
        <f>'🗂 Project Register'!B8</f>
        <v>Project - UKPN - Nexus IMIB</v>
      </c>
      <c r="C8" s="4" t="str">
        <f>'🗂 Project Register'!C8</f>
        <v>UK Power Networks (Operations) Ltd</v>
      </c>
      <c r="D8" s="72">
        <v>46140</v>
      </c>
      <c r="E8" s="6">
        <v>4</v>
      </c>
      <c r="F8" s="2"/>
      <c r="G8" s="4"/>
      <c r="H8" s="72"/>
    </row>
    <row r="9" spans="1:8" ht="42" customHeight="1">
      <c r="A9" s="3">
        <f>'🗂 Project Register'!A9</f>
        <v>0</v>
      </c>
      <c r="B9" s="4" t="str">
        <f>'🗂 Project Register'!B9</f>
        <v>UKPN - Distance to Fault &amp; CAS Pole Pilot</v>
      </c>
      <c r="C9" s="4" t="str">
        <f>'🗂 Project Register'!C9</f>
        <v>UK Power Networks (Operations) Ltd</v>
      </c>
      <c r="D9" s="73">
        <v>46147</v>
      </c>
      <c r="E9" s="70">
        <v>2</v>
      </c>
      <c r="F9" s="2"/>
      <c r="G9" s="2"/>
      <c r="H9" s="73"/>
    </row>
    <row r="10" spans="1:8" ht="26.45">
      <c r="A10" s="3" t="str">
        <f>'🗂 Project Register'!A10</f>
        <v>GB01_P001005</v>
      </c>
      <c r="B10" s="4" t="str">
        <f>'🗂 Project Register'!B10</f>
        <v>Project - Eirgrid - Eirgrid PSSE to Power Factory</v>
      </c>
      <c r="C10" s="4" t="str">
        <f>'🗂 Project Register'!C10</f>
        <v>EirGrid plc</v>
      </c>
      <c r="D10" s="73">
        <v>46143</v>
      </c>
      <c r="E10" s="71">
        <v>1</v>
      </c>
      <c r="F10" s="2" t="s">
        <v>419</v>
      </c>
      <c r="G10" s="2"/>
      <c r="H10" s="73"/>
    </row>
    <row r="11" spans="1:8" ht="26.45">
      <c r="A11" s="3" t="str">
        <f>'🗂 Project Register'!A11</f>
        <v>GB01_P001006</v>
      </c>
      <c r="B11" s="4" t="str">
        <f>'🗂 Project Register'!B11</f>
        <v>Project - Eirgrid - Eirgird Product Specialist T&amp;M</v>
      </c>
      <c r="C11" s="4" t="str">
        <f>'🗂 Project Register'!C11</f>
        <v>EirGrid plc</v>
      </c>
      <c r="D11" s="73">
        <v>46139</v>
      </c>
      <c r="E11" s="6">
        <v>4</v>
      </c>
      <c r="F11" s="2"/>
      <c r="G11" s="2"/>
      <c r="H11" s="73"/>
    </row>
    <row r="12" spans="1:8" ht="26.45">
      <c r="A12" s="3" t="str">
        <f>'🗂 Project Register'!A12</f>
        <v>GB01_P001010</v>
      </c>
      <c r="B12" s="4" t="str">
        <f>'🗂 Project Register'!B12</f>
        <v>Project - ENWL - SAP Projects</v>
      </c>
      <c r="C12" s="4" t="str">
        <f>'🗂 Project Register'!C12</f>
        <v>Electricity North West Limited</v>
      </c>
      <c r="D12" s="73">
        <v>46148</v>
      </c>
      <c r="E12" s="6">
        <v>4</v>
      </c>
      <c r="F12" s="2" t="s">
        <v>420</v>
      </c>
      <c r="G12" s="2"/>
      <c r="H12" s="73"/>
    </row>
    <row r="13" spans="1:8" ht="26.45">
      <c r="A13" s="3">
        <f>'🗂 Project Register'!A13</f>
        <v>0</v>
      </c>
      <c r="B13" s="4" t="str">
        <f>'🗂 Project Register'!B13</f>
        <v>ENWL - Project Manager - IT Resilience SMR - TnM</v>
      </c>
      <c r="C13" s="4" t="str">
        <f>'🗂 Project Register'!C13</f>
        <v>Electricity North West Limited</v>
      </c>
      <c r="D13" s="73">
        <v>46141</v>
      </c>
      <c r="E13" s="6">
        <v>4</v>
      </c>
      <c r="F13" s="2"/>
      <c r="G13" s="2"/>
      <c r="H13" s="73"/>
    </row>
    <row r="14" spans="1:8" ht="26.45">
      <c r="A14" s="3">
        <f>'🗂 Project Register'!A14</f>
        <v>0</v>
      </c>
      <c r="B14" s="4" t="str">
        <f>'🗂 Project Register'!B14</f>
        <v>WWU - Deed Digitalisation</v>
      </c>
      <c r="C14" s="4" t="str">
        <f>'🗂 Project Register'!C14</f>
        <v>Wales &amp; West Utilities</v>
      </c>
      <c r="D14" s="73"/>
      <c r="E14" s="6"/>
      <c r="F14" s="2"/>
      <c r="G14" s="2"/>
      <c r="H14" s="73"/>
    </row>
    <row r="15" spans="1:8" ht="26.45">
      <c r="A15" s="3">
        <f>'🗂 Project Register'!A15</f>
        <v>0</v>
      </c>
      <c r="B15" s="4" t="str">
        <f>'🗂 Project Register'!B15</f>
        <v>WWU - Service Suite Upgrade &amp; MFT</v>
      </c>
      <c r="C15" s="4" t="str">
        <f>'🗂 Project Register'!C15</f>
        <v>Wales &amp; West Utilities</v>
      </c>
      <c r="D15" s="73"/>
      <c r="E15" s="6"/>
      <c r="F15" s="2"/>
      <c r="G15" s="2"/>
      <c r="H15" s="73"/>
    </row>
    <row r="16" spans="1:8" ht="26.45">
      <c r="A16" s="3" t="str">
        <f>'🗂 Project Register'!A16</f>
        <v>GB01_P001075</v>
      </c>
      <c r="B16" s="4" t="str">
        <f>'🗂 Project Register'!B16</f>
        <v>Project - WWU - Open Text</v>
      </c>
      <c r="C16" s="4" t="str">
        <f>'🗂 Project Register'!C16</f>
        <v>Wales &amp; West Utilities</v>
      </c>
      <c r="D16" s="73"/>
      <c r="E16" s="6"/>
      <c r="F16" s="2"/>
      <c r="G16" s="2"/>
      <c r="H16" s="73"/>
    </row>
    <row r="17" spans="1:8" ht="26.45">
      <c r="A17" s="3" t="str">
        <f>'🗂 Project Register'!A17</f>
        <v>GB01_P001028</v>
      </c>
      <c r="B17" s="4" t="str">
        <f>'🗂 Project Register'!B17</f>
        <v>Project - WWU- SAP Simplification Item - S/4</v>
      </c>
      <c r="C17" s="4" t="str">
        <f>'🗂 Project Register'!C17</f>
        <v>Wales &amp; West Utilities</v>
      </c>
      <c r="D17" s="73"/>
      <c r="E17" s="6"/>
      <c r="F17" s="2"/>
      <c r="G17" s="2"/>
      <c r="H17" s="73"/>
    </row>
    <row r="18" spans="1:8" ht="39.6">
      <c r="A18" s="3" t="str">
        <f>'🗂 Project Register'!A18</f>
        <v>GB01_P001026</v>
      </c>
      <c r="B18" s="4" t="str">
        <f>'🗂 Project Register'!B18</f>
        <v>Project - WWU - S4 Resource and S4 Project Support New - FY26</v>
      </c>
      <c r="C18" s="4" t="str">
        <f>'🗂 Project Register'!C18</f>
        <v>Wales &amp; West Utilities</v>
      </c>
      <c r="D18" s="73"/>
      <c r="E18" s="6"/>
      <c r="F18" s="2"/>
      <c r="G18" s="2"/>
      <c r="H18" s="73"/>
    </row>
    <row r="19" spans="1:8" ht="26.45">
      <c r="A19" s="3" t="str">
        <f>'🗂 Project Register'!A19</f>
        <v>GB01_P001070</v>
      </c>
      <c r="B19" s="4" t="str">
        <f>'🗂 Project Register'!B19</f>
        <v>Project - SGN - Dev Test FPP</v>
      </c>
      <c r="C19" s="4" t="str">
        <f>'🗂 Project Register'!C19</f>
        <v>Scotia Gas Networks Limited</v>
      </c>
      <c r="D19" s="73"/>
      <c r="E19" s="6">
        <v>3</v>
      </c>
      <c r="F19" s="2"/>
      <c r="G19" s="2"/>
      <c r="H19" s="73"/>
    </row>
    <row r="20" spans="1:8" ht="26.45">
      <c r="A20" s="3" t="str">
        <f>'🗂 Project Register'!A20</f>
        <v>GB01_P001069</v>
      </c>
      <c r="B20" s="4" t="str">
        <f>'🗂 Project Register'!B20</f>
        <v>Project - SGN - Dev Test T&amp;M</v>
      </c>
      <c r="C20" s="4" t="str">
        <f>'🗂 Project Register'!C20</f>
        <v>Scotia Gas Networks Limited</v>
      </c>
      <c r="D20" s="73"/>
      <c r="E20" s="6">
        <v>5</v>
      </c>
      <c r="F20" s="2"/>
      <c r="G20" s="2"/>
      <c r="H20" s="73"/>
    </row>
    <row r="21" spans="1:8">
      <c r="D21" s="73"/>
      <c r="E21" s="6"/>
      <c r="F21" s="2"/>
      <c r="G21" s="2"/>
      <c r="H21" s="73"/>
    </row>
  </sheetData>
  <mergeCells count="2">
    <mergeCell ref="A2:H2"/>
    <mergeCell ref="A1:H1"/>
  </mergeCells>
  <dataValidations count="1">
    <dataValidation type="list" allowBlank="1" sqref="E6:E202" xr:uid="{00000000-0002-0000-0700-000000000000}">
      <formula1>"1,2,3,4,5"</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killSets xmlns="46c124bf-e411-4e02-8405-0eae331cb2b1" xsi:nil="true"/>
    <lcf76f155ced4ddcb4097134ff3c332f xmlns="46c124bf-e411-4e02-8405-0eae331cb2b1">
      <Terms xmlns="http://schemas.microsoft.com/office/infopath/2007/PartnerControls"/>
    </lcf76f155ced4ddcb4097134ff3c332f>
    <Skills xmlns="46c124bf-e411-4e02-8405-0eae331cb2b1" xsi:nil="true"/>
    <TaxCatchAll xmlns="ff1a179e-5872-402f-9b83-c896c2e4b13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44FF3E57D5874E910ABD2B20B2314E" ma:contentTypeVersion="14" ma:contentTypeDescription="Create a new document." ma:contentTypeScope="" ma:versionID="abeeba1e68161aad0fa3bf7405051c4b">
  <xsd:schema xmlns:xsd="http://www.w3.org/2001/XMLSchema" xmlns:xs="http://www.w3.org/2001/XMLSchema" xmlns:p="http://schemas.microsoft.com/office/2006/metadata/properties" xmlns:ns2="46c124bf-e411-4e02-8405-0eae331cb2b1" xmlns:ns3="ff1a179e-5872-402f-9b83-c896c2e4b13a" targetNamespace="http://schemas.microsoft.com/office/2006/metadata/properties" ma:root="true" ma:fieldsID="54c7554dbd800cface3e3cfa7faa494c" ns2:_="" ns3:_="">
    <xsd:import namespace="46c124bf-e411-4e02-8405-0eae331cb2b1"/>
    <xsd:import namespace="ff1a179e-5872-402f-9b83-c896c2e4b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SkillSets" minOccurs="0"/>
                <xsd:element ref="ns2:Skil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c124bf-e411-4e02-8405-0eae331cb2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3ee0b58-e154-4ff0-8073-653bf9f640c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SkillSets" ma:index="20" nillable="true" ma:displayName="Expertise" ma:format="Dropdown" ma:internalName="SkillSets">
      <xsd:simpleType>
        <xsd:restriction base="dms:Text">
          <xsd:maxLength value="255"/>
        </xsd:restriction>
      </xsd:simpleType>
    </xsd:element>
    <xsd:element name="Skills" ma:index="21" nillable="true" ma:displayName="Skills " ma:format="Dropdown" ma:internalName="Skill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1a179e-5872-402f-9b83-c896c2e4b1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10d2543-3b46-485e-b376-36dfcb8fce58}" ma:internalName="TaxCatchAll" ma:showField="CatchAllData" ma:web="ff1a179e-5872-402f-9b83-c896c2e4b1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ACBDE3-DC72-4AE8-A435-8DB52EE7F109}"/>
</file>

<file path=customXml/itemProps2.xml><?xml version="1.0" encoding="utf-8"?>
<ds:datastoreItem xmlns:ds="http://schemas.openxmlformats.org/officeDocument/2006/customXml" ds:itemID="{AEC9E75C-1396-4E38-9478-B4EC3A55E2AC}"/>
</file>

<file path=customXml/itemProps3.xml><?xml version="1.0" encoding="utf-8"?>
<ds:datastoreItem xmlns:ds="http://schemas.openxmlformats.org/officeDocument/2006/customXml" ds:itemID="{8719E9B2-BC43-494A-A3D9-0E1C083202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2026-04-20T09:48:20Z</dcterms:created>
  <dcterms:modified xsi:type="dcterms:W3CDTF">2026-05-11T07:54:52Z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0x010100DD44FF3E57D5874E910ABD2B20B2314E</vt:lpwstr>
  </property>
  <property fmtid="{D5CDD505-2E9C-101B-9397-08002B2CF9AE}" pid="3" name="MediaServiceImageTags">
    <vt:lpwstr/>
  </property>
</Properties>
</file>